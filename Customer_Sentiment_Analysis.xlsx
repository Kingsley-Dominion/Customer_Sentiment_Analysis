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237bcac3ecb5530/Documents/"/>
    </mc:Choice>
  </mc:AlternateContent>
  <xr:revisionPtr revIDLastSave="8" documentId="8_{9B87211B-0C87-431B-BC99-1F2049D82ADA}" xr6:coauthVersionLast="47" xr6:coauthVersionMax="47" xr10:uidLastSave="{B09781EE-353A-4340-99A1-619AA14829B6}"/>
  <bookViews>
    <workbookView xWindow="-110" yWindow="-110" windowWidth="19420" windowHeight="10300" activeTab="2" xr2:uid="{C4CCADDC-CD4D-4BEC-B5C3-84FADAE7FF26}"/>
  </bookViews>
  <sheets>
    <sheet name="Survey Dashboard" sheetId="2" r:id="rId1"/>
    <sheet name="Sentiment Dashboard" sheetId="3" r:id="rId2"/>
    <sheet name="Review Analysis" sheetId="4" r:id="rId3"/>
  </sheets>
  <externalReferences>
    <externalReference r:id="rId4"/>
  </externalReferences>
  <definedNames>
    <definedName name="_xlnm._FilterDatabase" localSheetId="0" hidden="1">'Survey Dashboard'!$A$64:$B$74</definedName>
    <definedName name="Slicer_Category">#N/A</definedName>
    <definedName name="Slicer_Sentim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6" i="4" l="1"/>
  <c r="D124" i="4"/>
  <c r="G16" i="3"/>
  <c r="B16" i="3"/>
  <c r="G15" i="3"/>
  <c r="B15" i="3"/>
  <c r="G14" i="3"/>
  <c r="B14" i="3"/>
  <c r="G13" i="3"/>
  <c r="B13" i="3"/>
  <c r="G12" i="3"/>
  <c r="B12" i="3"/>
  <c r="G11" i="3"/>
  <c r="B11" i="3"/>
  <c r="G10" i="3"/>
  <c r="B10" i="3"/>
  <c r="G9" i="3"/>
  <c r="B9" i="3"/>
  <c r="G8" i="3"/>
  <c r="B8" i="3"/>
  <c r="B77" i="2"/>
  <c r="B76" i="2"/>
  <c r="B78" i="2" l="1"/>
  <c r="C77" i="2" s="1"/>
  <c r="C76" i="2" l="1"/>
</calcChain>
</file>

<file path=xl/sharedStrings.xml><?xml version="1.0" encoding="utf-8"?>
<sst xmlns="http://schemas.openxmlformats.org/spreadsheetml/2006/main" count="609" uniqueCount="179">
  <si>
    <t>Row Labels</t>
  </si>
  <si>
    <t>Purchase Reason</t>
  </si>
  <si>
    <t>Personal residence</t>
  </si>
  <si>
    <t>Investment</t>
  </si>
  <si>
    <t>Land banking / future development</t>
  </si>
  <si>
    <t>Both investment and personal residence</t>
  </si>
  <si>
    <t>Top Factors</t>
  </si>
  <si>
    <t>Brand reputation</t>
  </si>
  <si>
    <t>Location</t>
  </si>
  <si>
    <t>Sales rep recommendation</t>
  </si>
  <si>
    <t>Payment plan flexibility</t>
  </si>
  <si>
    <t>Infrastructure plans</t>
  </si>
  <si>
    <t>Price affordability</t>
  </si>
  <si>
    <t>Overall Satisfaction</t>
  </si>
  <si>
    <t>Excellent</t>
  </si>
  <si>
    <t>Good</t>
  </si>
  <si>
    <t>Outstanding</t>
  </si>
  <si>
    <t>Average</t>
  </si>
  <si>
    <t>Poor</t>
  </si>
  <si>
    <t>Property Satisfaction</t>
  </si>
  <si>
    <t>Satisfied</t>
  </si>
  <si>
    <t>Very Satisfied</t>
  </si>
  <si>
    <t>Dissatisfied</t>
  </si>
  <si>
    <t>Very Dissatisfied</t>
  </si>
  <si>
    <t>Sales Team Experience</t>
  </si>
  <si>
    <t>Information Clarity</t>
  </si>
  <si>
    <t>Clear</t>
  </si>
  <si>
    <t>Very Clear</t>
  </si>
  <si>
    <t>Unclear</t>
  </si>
  <si>
    <t>Very Unclear</t>
  </si>
  <si>
    <t>Responsiveness</t>
  </si>
  <si>
    <t>Responsive</t>
  </si>
  <si>
    <t>Very Responsive</t>
  </si>
  <si>
    <t>Neutral</t>
  </si>
  <si>
    <t>Slow</t>
  </si>
  <si>
    <t>Very Slow</t>
  </si>
  <si>
    <t>Improvement Stage</t>
  </si>
  <si>
    <t>Post-purchase support</t>
  </si>
  <si>
    <t>Property inspection</t>
  </si>
  <si>
    <t>Documentation</t>
  </si>
  <si>
    <t>Initial inquiry response</t>
  </si>
  <si>
    <t>Payment process</t>
  </si>
  <si>
    <t>Sum of Likelihood To Recommend</t>
  </si>
  <si>
    <t>Negative</t>
  </si>
  <si>
    <t>Positive</t>
  </si>
  <si>
    <t>KEY METRICS</t>
  </si>
  <si>
    <t>Total Reviews</t>
  </si>
  <si>
    <t>✅ Positive</t>
  </si>
  <si>
    <t>❌ Negative</t>
  </si>
  <si>
    <t>⬛ Neutral</t>
  </si>
  <si>
    <t>Recommendations</t>
  </si>
  <si>
    <t>Avg Score</t>
  </si>
  <si>
    <t>Actionable</t>
  </si>
  <si>
    <t>69.0%</t>
  </si>
  <si>
    <t>CATEGORY BREAKDOWN</t>
  </si>
  <si>
    <t>Category</t>
  </si>
  <si>
    <t>Count</t>
  </si>
  <si>
    <t>Recommendation</t>
  </si>
  <si>
    <t>After-Sales Support</t>
  </si>
  <si>
    <t>Communication</t>
  </si>
  <si>
    <t>Customer Service</t>
  </si>
  <si>
    <t>Delivery &amp; Timeline</t>
  </si>
  <si>
    <t>General Satisfaction</t>
  </si>
  <si>
    <t>Infrastructure</t>
  </si>
  <si>
    <t>Pricing &amp; Payment</t>
  </si>
  <si>
    <t>Site Inspection</t>
  </si>
  <si>
    <t>Sentiment Analysis Summary Dashboard</t>
  </si>
  <si>
    <t>MSHEL Homes Client Review Sentiment Analysis</t>
  </si>
  <si>
    <t>Column1</t>
  </si>
  <si>
    <t>Client Name</t>
  </si>
  <si>
    <t>Review</t>
  </si>
  <si>
    <t>Sentiment</t>
  </si>
  <si>
    <t>Sentiment Score</t>
  </si>
  <si>
    <t>Key Issue</t>
  </si>
  <si>
    <t>Intensity</t>
  </si>
  <si>
    <t>You are still the best</t>
  </si>
  <si>
    <t>Yes</t>
  </si>
  <si>
    <t>░░░░░░░░░░</t>
  </si>
  <si>
    <t>Be more responsive and take the initiative with communication. We've been try...</t>
  </si>
  <si>
    <t>▓▓▓▓░░░░░░</t>
  </si>
  <si>
    <t>Overall</t>
  </si>
  <si>
    <t>You can improve by providing drawings (maybe not detailed) to your clients as...</t>
  </si>
  <si>
    <t>Infrastructure and management fail to meet promised expectations.</t>
  </si>
  <si>
    <t>▓▓▓▓▓░░░░░</t>
  </si>
  <si>
    <t>Maybe personal phone calls to clients aside emails. Especially when deadlines...</t>
  </si>
  <si>
    <t>No disappointment at all</t>
  </si>
  <si>
    <t>I actually don't have any difficult experience, but what i want is to increas...</t>
  </si>
  <si>
    <t>▓▓▓░░░░░░░</t>
  </si>
  <si>
    <t>NIL</t>
  </si>
  <si>
    <t>No</t>
  </si>
  <si>
    <t>Accessibility to the site should be of concern to Mshel.</t>
  </si>
  <si>
    <t>Yes when favour transfer to Lagos, I thanks GOD THROUGH HER EFFICENCY, DEDICA...</t>
  </si>
  <si>
    <t>▓▓▓▓▓▓░░░░</t>
  </si>
  <si>
    <t>Not yet. But I would like a faster development for the kuje estate plots for ...</t>
  </si>
  <si>
    <t>Nil</t>
  </si>
  <si>
    <t>Communication. Nobody is saying anything to me about the Belle Vista property</t>
  </si>
  <si>
    <t>Non, except delay in confirmation of payment</t>
  </si>
  <si>
    <t>Infrastructure fee is much</t>
  </si>
  <si>
    <t>Extend the period for payment of infrastructure development fee to 24 months ...</t>
  </si>
  <si>
    <t>Be always attentive to your customers most a times they are not respond well ...</t>
  </si>
  <si>
    <t>Recommended your property to a friend who would have loved to start building ...</t>
  </si>
  <si>
    <t>Timely delivery of the purchased properties</t>
  </si>
  <si>
    <t>Your subcharge</t>
  </si>
  <si>
    <t>Wasn't really disappointed but improve on speed with documentation</t>
  </si>
  <si>
    <t>For the 1-hectare purchase, timely clarity is key so buyers understand their ...</t>
  </si>
  <si>
    <t>Not at all</t>
  </si>
  <si>
    <t>You failed to deliver property fully paid for since 2024</t>
  </si>
  <si>
    <t>Unclear post purchase communication</t>
  </si>
  <si>
    <t>building was delayed</t>
  </si>
  <si>
    <t>You sent me a letter of excavation for over six months yet no excavation afte...</t>
  </si>
  <si>
    <t>Floor plan</t>
  </si>
  <si>
    <t>The property I paid for had not been allocated to me. I may need to employ th...</t>
  </si>
  <si>
    <t>Your services is excellent, your staff are well disciplined. 
Keep the tempo ...</t>
  </si>
  <si>
    <t>The documentation procet</t>
  </si>
  <si>
    <t>Nothing for now. 
Thanks.</t>
  </si>
  <si>
    <t>It can be better</t>
  </si>
  <si>
    <t>Building costs quotation  feedback</t>
  </si>
  <si>
    <t>Need for constant updates as the project progresses.</t>
  </si>
  <si>
    <t>The building timeline of the property was longer and was not kept in line wit...</t>
  </si>
  <si>
    <t>I informed the company of my leaking roof, lack of sewage and water, and they...</t>
  </si>
  <si>
    <t>NO FEEDBACK AFTER INITIAL PAYMENT</t>
  </si>
  <si>
    <t>Nothing, however, the prices can be more competitive.</t>
  </si>
  <si>
    <t>You need to improve on communication generally.</t>
  </si>
  <si>
    <t>I will like.to know if.i can be about to fence my land with these company</t>
  </si>
  <si>
    <t>Payment flexibility and clients incorporation</t>
  </si>
  <si>
    <t>No disappointment, the Marketer is experienced and provides update even after...</t>
  </si>
  <si>
    <t>David delays in responding to inquiries.</t>
  </si>
  <si>
    <t>I believe the inspection should have been done better. An experienced survey ...</t>
  </si>
  <si>
    <t>Promise of infrastructure provisions</t>
  </si>
  <si>
    <t>Payment plan</t>
  </si>
  <si>
    <t>NOTHING DISAPPOINTING SO FAR. The properties i am vying for are all being con...</t>
  </si>
  <si>
    <t>NONE FOR NOW</t>
  </si>
  <si>
    <t>Yes, the surcharge wasn’t explained clearly.</t>
  </si>
  <si>
    <t>Yes, the payment plan was changed, and I was not properly informed. I was mad...</t>
  </si>
  <si>
    <t>Being clear and make the client understand the terms and conditions apply bef...</t>
  </si>
  <si>
    <t>Fast development of the area to enable the land appreciate for those who wish...</t>
  </si>
  <si>
    <t>Responses to email enquiries used to be rapid but now they are delayed/ignore...</t>
  </si>
  <si>
    <t>The infrastructure you promised to put in the Estate</t>
  </si>
  <si>
    <t>The company should be more considerate because the economy is not that good f...</t>
  </si>
  <si>
    <t>None for now</t>
  </si>
  <si>
    <t>Hidden policy of discount for outright payment - only given to those who know...</t>
  </si>
  <si>
    <t>Honest</t>
  </si>
  <si>
    <t>No disappointment, but there's need to review some of the terms and condition...</t>
  </si>
  <si>
    <t>Just slow to respond</t>
  </si>
  <si>
    <t>Documentation, allocation of plot,</t>
  </si>
  <si>
    <t>Guidance for clients who purchased land for investment</t>
  </si>
  <si>
    <t>Non but communication/information should be disseminated through SMS and email.</t>
  </si>
  <si>
    <t>Communication gap from Company Office to client</t>
  </si>
  <si>
    <t>Nothing really to improve</t>
  </si>
  <si>
    <t>My experience was resale of land to still buy from Mshel and it is taking age...</t>
  </si>
  <si>
    <t>After sales support and adequate information</t>
  </si>
  <si>
    <t>No disappointment</t>
  </si>
  <si>
    <t>The infrastructure.Keeping to your side of the agreement. Deliver standard bu...</t>
  </si>
  <si>
    <t>The dashboard should be functional as it was initially, this had been so enco...</t>
  </si>
  <si>
    <t>No any Disappointment,  but you can create an avenue by way of buying propert...</t>
  </si>
  <si>
    <t>Different payment requirement that confused me</t>
  </si>
  <si>
    <t>It is your response to issues, I sent a mail to your team for electricity pol...</t>
  </si>
  <si>
    <t>Yes, I purchased a land property at Hutu Abuja under Mshel Homes which is FCD...</t>
  </si>
  <si>
    <t>No disappointments. But would like the company to give opportunities for morg...</t>
  </si>
  <si>
    <t>The only thing that disappointed me was that, the land I bought about 6 month...</t>
  </si>
  <si>
    <t>The abandoning of the infrastructure in Belle vista where my proper is despit...</t>
  </si>
  <si>
    <t>Too many wrong and false information by marketer just to get commission</t>
  </si>
  <si>
    <t>1. Be fair and equitable - Selective work on properties on same site is suspi...</t>
  </si>
  <si>
    <t>Post purchase support like provisioning of Infrastructure</t>
  </si>
  <si>
    <t>The resell process is cumbersome and the charges need to drop in order to enc...</t>
  </si>
  <si>
    <t>A lot of outside work not completed such as stairs rail and ceiling. Delay in...</t>
  </si>
  <si>
    <t>I have not seen or know the location of the property  l am paying  for.</t>
  </si>
  <si>
    <t>Infrastructure Development</t>
  </si>
  <si>
    <t>The infrastructure level in the estate i reside (Mshel Meridian Villa) is ver...</t>
  </si>
  <si>
    <t>Communication and customer care</t>
  </si>
  <si>
    <t>Delivery time</t>
  </si>
  <si>
    <t>Financial Record Keeping/Payment management processes</t>
  </si>
  <si>
    <t>As a Hutu exclusive client, I expect you to have a social media platform invo...</t>
  </si>
  <si>
    <t>You seems to pay less attention to customers of properties you have sold...</t>
  </si>
  <si>
    <t>Be clear from the onset. I found out from the contract that I had to pay deve...</t>
  </si>
  <si>
    <t>The delay in hutu Abuja. Anxious to move to site but everything is quite..no ...</t>
  </si>
  <si>
    <t>I wasnt avail the floor plan and size in sqm of the apartment before purchase...</t>
  </si>
  <si>
    <t>Kindly be on schedule for delivery oh Apo pine Court</t>
  </si>
  <si>
    <t>Maintain access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</si>
</sst>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1"/>
      <color theme="1"/>
      <name val="Aptos Narrow"/>
      <family val="2"/>
      <scheme val="minor"/>
    </font>
    <font>
      <sz val="11"/>
      <color rgb="FF000000"/>
      <name val="Calibri"/>
    </font>
    <font>
      <b/>
      <sz val="14"/>
      <color rgb="FFFFFFFF"/>
      <name val="Times New Roman"/>
      <family val="1"/>
    </font>
    <font>
      <sz val="11"/>
      <color rgb="FF000000"/>
      <name val="Times New Roman"/>
      <family val="1"/>
    </font>
    <font>
      <b/>
      <sz val="11"/>
      <color rgb="FFFFFFFF"/>
      <name val="Times New Roman"/>
      <family val="1"/>
    </font>
    <font>
      <b/>
      <sz val="9"/>
      <name val="Times New Roman"/>
      <family val="1"/>
    </font>
    <font>
      <b/>
      <sz val="9"/>
      <color theme="0"/>
      <name val="Times New Roman"/>
      <family val="1"/>
    </font>
    <font>
      <b/>
      <sz val="18"/>
      <name val="Times New Roman"/>
      <family val="1"/>
    </font>
    <font>
      <b/>
      <sz val="18"/>
      <color theme="0"/>
      <name val="Times New Roman"/>
      <family val="1"/>
    </font>
    <font>
      <b/>
      <sz val="10"/>
      <name val="Times New Roman"/>
      <family val="1"/>
    </font>
    <font>
      <b/>
      <sz val="10"/>
      <color theme="0"/>
      <name val="Times New Roman"/>
      <family val="1"/>
    </font>
    <font>
      <b/>
      <sz val="9"/>
      <color rgb="FFFFFFFF"/>
      <name val="Times New Roman"/>
      <family val="1"/>
    </font>
    <font>
      <sz val="10"/>
      <color rgb="FF000000"/>
      <name val="Times New Roman"/>
      <family val="1"/>
    </font>
    <font>
      <sz val="9"/>
      <name val="Times New Roman"/>
      <family val="1"/>
    </font>
    <font>
      <sz val="11"/>
      <color theme="1"/>
      <name val="Calibri"/>
      <family val="2"/>
      <charset val="1"/>
    </font>
    <font>
      <b/>
      <sz val="14"/>
      <color rgb="FF0D1E3D"/>
      <name val="Century Gothic"/>
      <family val="2"/>
    </font>
    <font>
      <b/>
      <sz val="10"/>
      <color rgb="FFFFFFFF"/>
      <name val="Century Gothic"/>
      <family val="2"/>
    </font>
    <font>
      <sz val="9"/>
      <color rgb="FF1E293B"/>
      <name val="Century Gothic"/>
      <family val="2"/>
    </font>
    <font>
      <b/>
      <sz val="9"/>
      <color rgb="FF15803D"/>
      <name val="Century Gothic"/>
      <family val="2"/>
    </font>
    <font>
      <sz val="9"/>
      <color rgb="FF374151"/>
      <name val="Century Gothic"/>
      <family val="2"/>
    </font>
    <font>
      <sz val="8"/>
      <color rgb="FF374151"/>
      <name val="Courier New"/>
      <family val="3"/>
    </font>
    <font>
      <b/>
      <sz val="9"/>
      <color rgb="FF991B1B"/>
      <name val="Century Gothic"/>
      <family val="2"/>
    </font>
    <font>
      <sz val="9"/>
      <color rgb="FF991B1B"/>
      <name val="Century Gothic"/>
      <family val="2"/>
    </font>
    <font>
      <sz val="8"/>
      <color rgb="FF991B1B"/>
      <name val="Courier New"/>
      <family val="3"/>
    </font>
    <font>
      <b/>
      <sz val="9"/>
      <color rgb="FF374151"/>
      <name val="Century Gothic"/>
      <family val="2"/>
    </font>
    <font>
      <sz val="9"/>
      <color rgb="FF15803D"/>
      <name val="Century Gothic"/>
      <family val="2"/>
    </font>
    <font>
      <sz val="8"/>
      <color rgb="FF15803D"/>
      <name val="Courier New"/>
      <family val="3"/>
    </font>
    <font>
      <sz val="8"/>
      <color rgb="FFE8EDF4"/>
      <name val="Century Gothic"/>
      <family val="2"/>
    </font>
    <font>
      <b/>
      <sz val="8"/>
      <color rgb="FFE8EDF4"/>
      <name val="Century Gothic"/>
      <family val="2"/>
    </font>
  </fonts>
  <fills count="13">
    <fill>
      <patternFill patternType="none"/>
    </fill>
    <fill>
      <patternFill patternType="gray125"/>
    </fill>
    <fill>
      <patternFill patternType="solid">
        <fgColor rgb="FFFFEB9C"/>
      </patternFill>
    </fill>
    <fill>
      <patternFill patternType="solid">
        <fgColor rgb="FF002060"/>
        <bgColor indexed="64"/>
      </patternFill>
    </fill>
    <fill>
      <patternFill patternType="solid">
        <fgColor rgb="FFD9E2F3"/>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rgb="FFE2EFDA"/>
      </patternFill>
    </fill>
    <fill>
      <patternFill patternType="solid">
        <fgColor rgb="FFFCE4D6"/>
      </patternFill>
    </fill>
    <fill>
      <patternFill patternType="solid">
        <fgColor rgb="FFF5F5F5"/>
        <bgColor rgb="FFFFFFFF"/>
      </patternFill>
    </fill>
    <fill>
      <patternFill patternType="solid">
        <fgColor rgb="FF0D1E3D"/>
        <bgColor rgb="FF1E293B"/>
      </patternFill>
    </fill>
    <fill>
      <patternFill patternType="solid">
        <fgColor rgb="FFFFFFFF"/>
        <bgColor rgb="FFF5F5F5"/>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CBD5E1"/>
      </right>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style="thin">
        <color rgb="FFCBD5E1"/>
      </right>
      <top style="thin">
        <color rgb="FFCBD5E1"/>
      </top>
      <bottom/>
      <diagonal/>
    </border>
    <border>
      <left style="thin">
        <color rgb="FFCBD5E1"/>
      </left>
      <right style="thin">
        <color rgb="FFCBD5E1"/>
      </right>
      <top style="thin">
        <color rgb="FFCBD5E1"/>
      </top>
      <bottom/>
      <diagonal/>
    </border>
    <border>
      <left style="thin">
        <color rgb="FFCBD5E1"/>
      </left>
      <right/>
      <top style="thin">
        <color rgb="FFCBD5E1"/>
      </top>
      <bottom/>
      <diagonal/>
    </border>
  </borders>
  <cellStyleXfs count="4">
    <xf numFmtId="0" fontId="0" fillId="0" borderId="0"/>
    <xf numFmtId="0" fontId="1" fillId="0" borderId="0"/>
    <xf numFmtId="9" fontId="1" fillId="0" borderId="0" applyFont="0" applyFill="0" applyBorder="0" applyAlignment="0" applyProtection="0"/>
    <xf numFmtId="0" fontId="14" fillId="0" borderId="0"/>
  </cellStyleXfs>
  <cellXfs count="76">
    <xf numFmtId="0" fontId="0" fillId="0" borderId="0" xfId="0"/>
    <xf numFmtId="0" fontId="1" fillId="0" borderId="1" xfId="1" applyBorder="1"/>
    <xf numFmtId="0" fontId="1" fillId="0" borderId="0" xfId="1"/>
    <xf numFmtId="9" fontId="0" fillId="0" borderId="0" xfId="2" applyFont="1"/>
    <xf numFmtId="164" fontId="0" fillId="0" borderId="0" xfId="2" applyNumberFormat="1" applyFont="1"/>
    <xf numFmtId="10" fontId="0" fillId="0" borderId="0" xfId="2" applyNumberFormat="1" applyFont="1"/>
    <xf numFmtId="9" fontId="0" fillId="0" borderId="1" xfId="2" applyFont="1" applyBorder="1"/>
    <xf numFmtId="0" fontId="2" fillId="3" borderId="0" xfId="1" applyFont="1" applyFill="1" applyAlignment="1">
      <alignment horizontal="center" vertical="center"/>
    </xf>
    <xf numFmtId="0" fontId="3" fillId="0" borderId="0" xfId="1" applyFont="1"/>
    <xf numFmtId="0" fontId="4" fillId="3" borderId="0" xfId="1" applyFont="1" applyFill="1" applyAlignment="1">
      <alignment horizontal="center" vertical="center"/>
    </xf>
    <xf numFmtId="0" fontId="5" fillId="4" borderId="2" xfId="1" applyFont="1" applyFill="1" applyBorder="1" applyAlignment="1">
      <alignment horizontal="center"/>
    </xf>
    <xf numFmtId="0" fontId="6" fillId="5" borderId="2" xfId="1" applyFont="1" applyFill="1" applyBorder="1" applyAlignment="1">
      <alignment horizontal="center"/>
    </xf>
    <xf numFmtId="0" fontId="6" fillId="6" borderId="2" xfId="1" applyFont="1" applyFill="1" applyBorder="1" applyAlignment="1">
      <alignment horizontal="center"/>
    </xf>
    <xf numFmtId="0" fontId="5" fillId="2" borderId="2" xfId="1" applyFont="1" applyFill="1" applyBorder="1" applyAlignment="1">
      <alignment horizontal="center"/>
    </xf>
    <xf numFmtId="0" fontId="5" fillId="7" borderId="2" xfId="1" applyFont="1" applyFill="1" applyBorder="1" applyAlignment="1">
      <alignment horizontal="center"/>
    </xf>
    <xf numFmtId="0" fontId="5" fillId="8" borderId="2" xfId="1" applyFont="1" applyFill="1" applyBorder="1" applyAlignment="1">
      <alignment horizontal="center"/>
    </xf>
    <xf numFmtId="0" fontId="5" fillId="9" borderId="2" xfId="1" applyFont="1" applyFill="1" applyBorder="1" applyAlignment="1">
      <alignment horizontal="center"/>
    </xf>
    <xf numFmtId="0" fontId="7" fillId="4" borderId="3" xfId="1" applyFont="1" applyFill="1" applyBorder="1" applyAlignment="1">
      <alignment horizontal="center"/>
    </xf>
    <xf numFmtId="0" fontId="8" fillId="5" borderId="3" xfId="1" applyFont="1" applyFill="1" applyBorder="1" applyAlignment="1">
      <alignment horizontal="center"/>
    </xf>
    <xf numFmtId="0" fontId="8" fillId="6" borderId="3" xfId="1" applyFont="1" applyFill="1" applyBorder="1" applyAlignment="1">
      <alignment horizontal="center"/>
    </xf>
    <xf numFmtId="0" fontId="7" fillId="2" borderId="3" xfId="1" applyFont="1" applyFill="1" applyBorder="1" applyAlignment="1">
      <alignment horizontal="center"/>
    </xf>
    <xf numFmtId="0" fontId="7" fillId="7" borderId="3" xfId="1" applyFont="1" applyFill="1" applyBorder="1" applyAlignment="1">
      <alignment horizontal="center"/>
    </xf>
    <xf numFmtId="0" fontId="7" fillId="8" borderId="3" xfId="1" applyFont="1" applyFill="1" applyBorder="1" applyAlignment="1">
      <alignment horizontal="center"/>
    </xf>
    <xf numFmtId="0" fontId="7" fillId="9" borderId="3" xfId="1" applyFont="1" applyFill="1" applyBorder="1" applyAlignment="1">
      <alignment horizontal="center"/>
    </xf>
    <xf numFmtId="0" fontId="9" fillId="4" borderId="3" xfId="1" applyFont="1" applyFill="1" applyBorder="1" applyAlignment="1">
      <alignment horizontal="center" vertical="center"/>
    </xf>
    <xf numFmtId="0" fontId="10" fillId="5" borderId="3" xfId="1" applyFont="1" applyFill="1" applyBorder="1" applyAlignment="1">
      <alignment horizontal="center" vertical="center"/>
    </xf>
    <xf numFmtId="9" fontId="10" fillId="6" borderId="3" xfId="1" applyNumberFormat="1" applyFont="1" applyFill="1" applyBorder="1" applyAlignment="1">
      <alignment horizontal="center" vertical="center"/>
    </xf>
    <xf numFmtId="9" fontId="9" fillId="2" borderId="3" xfId="1" applyNumberFormat="1" applyFont="1" applyFill="1" applyBorder="1" applyAlignment="1">
      <alignment horizontal="center" vertical="center"/>
    </xf>
    <xf numFmtId="9" fontId="9" fillId="7" borderId="3" xfId="1" applyNumberFormat="1" applyFont="1" applyFill="1" applyBorder="1" applyAlignment="1">
      <alignment horizontal="center" vertical="center"/>
    </xf>
    <xf numFmtId="0" fontId="9" fillId="8" borderId="3" xfId="1" applyFont="1" applyFill="1" applyBorder="1" applyAlignment="1">
      <alignment horizontal="center" vertical="center"/>
    </xf>
    <xf numFmtId="0" fontId="9" fillId="9" borderId="3" xfId="1" applyFont="1" applyFill="1" applyBorder="1" applyAlignment="1">
      <alignment horizontal="center" vertical="center"/>
    </xf>
    <xf numFmtId="0" fontId="4" fillId="3" borderId="1" xfId="1" applyFont="1" applyFill="1" applyBorder="1" applyAlignment="1">
      <alignment horizontal="center" vertical="center"/>
    </xf>
    <xf numFmtId="0" fontId="3" fillId="0" borderId="4" xfId="1" applyFont="1" applyBorder="1"/>
    <xf numFmtId="0" fontId="3" fillId="0" borderId="5" xfId="1" applyFont="1" applyBorder="1"/>
    <xf numFmtId="0" fontId="11" fillId="3" borderId="1" xfId="1" applyFont="1" applyFill="1" applyBorder="1" applyAlignment="1">
      <alignment horizontal="center"/>
    </xf>
    <xf numFmtId="0" fontId="12" fillId="0" borderId="1" xfId="1" applyFont="1" applyBorder="1"/>
    <xf numFmtId="0" fontId="13" fillId="7" borderId="1" xfId="1" applyFont="1" applyFill="1" applyBorder="1" applyAlignment="1">
      <alignment horizontal="center"/>
    </xf>
    <xf numFmtId="0" fontId="14" fillId="0" borderId="0" xfId="3"/>
    <xf numFmtId="0" fontId="15" fillId="10" borderId="0" xfId="3" applyFont="1" applyFill="1" applyAlignment="1">
      <alignment horizontal="center" vertical="center" wrapText="1"/>
    </xf>
    <xf numFmtId="0" fontId="16" fillId="11" borderId="6" xfId="3" applyFont="1" applyFill="1" applyBorder="1" applyAlignment="1">
      <alignment horizontal="center" vertical="center" wrapText="1"/>
    </xf>
    <xf numFmtId="0" fontId="16" fillId="11" borderId="7" xfId="3" applyFont="1" applyFill="1" applyBorder="1" applyAlignment="1">
      <alignment horizontal="center" vertical="center" wrapText="1"/>
    </xf>
    <xf numFmtId="0" fontId="16" fillId="11" borderId="8" xfId="3" applyFont="1" applyFill="1" applyBorder="1" applyAlignment="1">
      <alignment horizontal="center" vertical="center" wrapText="1"/>
    </xf>
    <xf numFmtId="0" fontId="17" fillId="12" borderId="9" xfId="3" applyFont="1" applyFill="1" applyBorder="1" applyAlignment="1">
      <alignment horizontal="center" vertical="center" wrapText="1"/>
    </xf>
    <xf numFmtId="0" fontId="17" fillId="12" borderId="10" xfId="3" applyFont="1" applyFill="1" applyBorder="1" applyAlignment="1">
      <alignment horizontal="left" vertical="center" wrapText="1"/>
    </xf>
    <xf numFmtId="0" fontId="18" fillId="12" borderId="10" xfId="3" applyFont="1" applyFill="1" applyBorder="1" applyAlignment="1">
      <alignment horizontal="center" vertical="center" wrapText="1"/>
    </xf>
    <xf numFmtId="165" fontId="19" fillId="12" borderId="10" xfId="3" applyNumberFormat="1" applyFont="1" applyFill="1" applyBorder="1" applyAlignment="1">
      <alignment horizontal="center" vertical="center" wrapText="1"/>
    </xf>
    <xf numFmtId="0" fontId="17" fillId="12" borderId="10" xfId="3" applyFont="1" applyFill="1" applyBorder="1" applyAlignment="1">
      <alignment horizontal="center" vertical="center" wrapText="1"/>
    </xf>
    <xf numFmtId="0" fontId="20" fillId="12" borderId="11" xfId="3" applyFont="1" applyFill="1" applyBorder="1" applyAlignment="1">
      <alignment horizontal="center" vertical="center" wrapText="1"/>
    </xf>
    <xf numFmtId="0" fontId="17" fillId="10" borderId="9" xfId="3" applyFont="1" applyFill="1" applyBorder="1" applyAlignment="1">
      <alignment horizontal="center" vertical="center" wrapText="1"/>
    </xf>
    <xf numFmtId="0" fontId="17" fillId="10" borderId="10" xfId="3" applyFont="1" applyFill="1" applyBorder="1" applyAlignment="1">
      <alignment horizontal="left" vertical="center" wrapText="1"/>
    </xf>
    <xf numFmtId="0" fontId="21" fillId="10" borderId="10" xfId="3" applyFont="1" applyFill="1" applyBorder="1" applyAlignment="1">
      <alignment horizontal="center" vertical="center" wrapText="1"/>
    </xf>
    <xf numFmtId="165" fontId="22" fillId="10" borderId="10" xfId="3" applyNumberFormat="1" applyFont="1" applyFill="1" applyBorder="1" applyAlignment="1">
      <alignment horizontal="center" vertical="center" wrapText="1"/>
    </xf>
    <xf numFmtId="0" fontId="17" fillId="10" borderId="10" xfId="3" applyFont="1" applyFill="1" applyBorder="1" applyAlignment="1">
      <alignment horizontal="center" vertical="center" wrapText="1"/>
    </xf>
    <xf numFmtId="0" fontId="23" fillId="10" borderId="11" xfId="3" applyFont="1" applyFill="1" applyBorder="1" applyAlignment="1">
      <alignment horizontal="center" vertical="center" wrapText="1"/>
    </xf>
    <xf numFmtId="0" fontId="24" fillId="12" borderId="10" xfId="3" applyFont="1" applyFill="1" applyBorder="1" applyAlignment="1">
      <alignment horizontal="center" vertical="center" wrapText="1"/>
    </xf>
    <xf numFmtId="0" fontId="21" fillId="12" borderId="10" xfId="3" applyFont="1" applyFill="1" applyBorder="1" applyAlignment="1">
      <alignment horizontal="center" vertical="center" wrapText="1"/>
    </xf>
    <xf numFmtId="165" fontId="22" fillId="12" borderId="10" xfId="3" applyNumberFormat="1" applyFont="1" applyFill="1" applyBorder="1" applyAlignment="1">
      <alignment horizontal="center" vertical="center" wrapText="1"/>
    </xf>
    <xf numFmtId="0" fontId="23" fillId="12" borderId="11" xfId="3" applyFont="1" applyFill="1" applyBorder="1" applyAlignment="1">
      <alignment horizontal="center" vertical="center" wrapText="1"/>
    </xf>
    <xf numFmtId="0" fontId="24" fillId="10" borderId="10" xfId="3" applyFont="1" applyFill="1" applyBorder="1" applyAlignment="1">
      <alignment horizontal="center" vertical="center" wrapText="1"/>
    </xf>
    <xf numFmtId="165" fontId="19" fillId="10" borderId="10" xfId="3" applyNumberFormat="1" applyFont="1" applyFill="1" applyBorder="1" applyAlignment="1">
      <alignment horizontal="center" vertical="center" wrapText="1"/>
    </xf>
    <xf numFmtId="0" fontId="20" fillId="10" borderId="11" xfId="3" applyFont="1" applyFill="1" applyBorder="1" applyAlignment="1">
      <alignment horizontal="center" vertical="center" wrapText="1"/>
    </xf>
    <xf numFmtId="165" fontId="25" fillId="12" borderId="10" xfId="3" applyNumberFormat="1" applyFont="1" applyFill="1" applyBorder="1" applyAlignment="1">
      <alignment horizontal="center" vertical="center" wrapText="1"/>
    </xf>
    <xf numFmtId="0" fontId="26" fillId="12" borderId="11" xfId="3" applyFont="1" applyFill="1" applyBorder="1" applyAlignment="1">
      <alignment horizontal="center" vertical="center" wrapText="1"/>
    </xf>
    <xf numFmtId="0" fontId="18" fillId="10" borderId="10" xfId="3" applyFont="1" applyFill="1" applyBorder="1" applyAlignment="1">
      <alignment horizontal="center" vertical="center" wrapText="1"/>
    </xf>
    <xf numFmtId="165" fontId="25" fillId="10" borderId="10" xfId="3" applyNumberFormat="1" applyFont="1" applyFill="1" applyBorder="1" applyAlignment="1">
      <alignment horizontal="center" vertical="center" wrapText="1"/>
    </xf>
    <xf numFmtId="0" fontId="26" fillId="10" borderId="11" xfId="3" applyFont="1" applyFill="1" applyBorder="1" applyAlignment="1">
      <alignment horizontal="center" vertical="center" wrapText="1"/>
    </xf>
    <xf numFmtId="0" fontId="17" fillId="12" borderId="12" xfId="3" applyFont="1" applyFill="1" applyBorder="1" applyAlignment="1">
      <alignment horizontal="center" vertical="center" wrapText="1"/>
    </xf>
    <xf numFmtId="0" fontId="17" fillId="12" borderId="13" xfId="3" applyFont="1" applyFill="1" applyBorder="1" applyAlignment="1">
      <alignment horizontal="left" vertical="center" wrapText="1"/>
    </xf>
    <xf numFmtId="0" fontId="24" fillId="12" borderId="13" xfId="3" applyFont="1" applyFill="1" applyBorder="1" applyAlignment="1">
      <alignment horizontal="center" vertical="center" wrapText="1"/>
    </xf>
    <xf numFmtId="165" fontId="19" fillId="12" borderId="13" xfId="3" applyNumberFormat="1" applyFont="1" applyFill="1" applyBorder="1" applyAlignment="1">
      <alignment horizontal="center" vertical="center" wrapText="1"/>
    </xf>
    <xf numFmtId="0" fontId="17" fillId="12" borderId="13" xfId="3" applyFont="1" applyFill="1" applyBorder="1" applyAlignment="1">
      <alignment horizontal="center" vertical="center" wrapText="1"/>
    </xf>
    <xf numFmtId="0" fontId="20" fillId="12" borderId="14" xfId="3" applyFont="1" applyFill="1" applyBorder="1" applyAlignment="1">
      <alignment horizontal="center" vertical="center" wrapText="1"/>
    </xf>
    <xf numFmtId="0" fontId="27" fillId="12" borderId="10" xfId="3" applyFont="1" applyFill="1" applyBorder="1" applyAlignment="1">
      <alignment horizontal="left" vertical="center" wrapText="1"/>
    </xf>
    <xf numFmtId="0" fontId="27" fillId="10" borderId="10" xfId="3" applyFont="1" applyFill="1" applyBorder="1" applyAlignment="1">
      <alignment horizontal="left" vertical="center" wrapText="1"/>
    </xf>
    <xf numFmtId="0" fontId="28" fillId="12" borderId="10" xfId="3" applyFont="1" applyFill="1" applyBorder="1" applyAlignment="1">
      <alignment horizontal="left" vertical="center" wrapText="1"/>
    </xf>
    <xf numFmtId="0" fontId="27" fillId="12" borderId="13" xfId="3" applyFont="1" applyFill="1" applyBorder="1" applyAlignment="1">
      <alignment horizontal="left" vertical="center" wrapText="1"/>
    </xf>
  </cellXfs>
  <cellStyles count="4">
    <cellStyle name="Normal" xfId="0" builtinId="0"/>
    <cellStyle name="Normal 2" xfId="1" xr:uid="{EBA7E5B8-FADA-42A5-A844-7A85857E6325}"/>
    <cellStyle name="Normal 3" xfId="3" xr:uid="{53AFE691-CD11-4D5E-9552-DE74CE53C6E0}"/>
    <cellStyle name="Percent 2" xfId="2" xr:uid="{4F76718B-86F0-4FA1-BF40-E26E7EBF31A3}"/>
  </cellStyles>
  <dxfs count="13">
    <dxf>
      <font>
        <b val="0"/>
        <i val="0"/>
        <strike val="0"/>
        <condense val="0"/>
        <extend val="0"/>
        <outline val="0"/>
        <shadow val="0"/>
        <u val="none"/>
        <vertAlign val="baseline"/>
        <sz val="8"/>
        <color rgb="FFE8EDF4"/>
        <name val="Century Gothic"/>
        <family val="2"/>
        <scheme val="none"/>
      </font>
      <fill>
        <patternFill patternType="solid">
          <fgColor rgb="FFF5F5F5"/>
          <bgColor rgb="FFFFFFFF"/>
        </patternFill>
      </fill>
      <alignment horizontal="left" vertical="center" textRotation="0" wrapText="1" indent="0" justifyLastLine="0" shrinkToFit="0" readingOrder="0"/>
      <border diagonalUp="0" diagonalDown="0" outline="0">
        <left style="thin">
          <color rgb="FFCBD5E1"/>
        </left>
        <right style="thin">
          <color rgb="FFCBD5E1"/>
        </right>
        <top style="thin">
          <color rgb="FFCBD5E1"/>
        </top>
        <bottom style="thin">
          <color rgb="FFCBD5E1"/>
        </bottom>
      </border>
    </dxf>
    <dxf>
      <font>
        <b/>
        <i val="0"/>
        <strike val="0"/>
        <condense val="0"/>
        <extend val="0"/>
        <outline val="0"/>
        <shadow val="0"/>
        <u val="none"/>
        <vertAlign val="baseline"/>
        <sz val="9"/>
        <color rgb="FF991B1B"/>
        <name val="Century Gothic"/>
        <family val="2"/>
        <scheme val="none"/>
      </font>
      <fill>
        <patternFill patternType="solid">
          <fgColor rgb="FFFFFFFF"/>
          <bgColor rgb="FFF5F5F5"/>
        </patternFill>
      </fill>
      <alignment horizontal="center" vertical="center" textRotation="0" wrapText="1" indent="0" justifyLastLine="0" shrinkToFit="0" readingOrder="0"/>
      <border diagonalUp="0" diagonalDown="0" outline="0">
        <left style="thin">
          <color rgb="FFCBD5E1"/>
        </left>
        <right style="thin">
          <color rgb="FFCBD5E1"/>
        </right>
        <top style="thin">
          <color rgb="FFCBD5E1"/>
        </top>
        <bottom style="thin">
          <color rgb="FFCBD5E1"/>
        </bottom>
      </border>
    </dxf>
    <dxf>
      <font>
        <b val="0"/>
        <i val="0"/>
        <strike val="0"/>
        <condense val="0"/>
        <extend val="0"/>
        <outline val="0"/>
        <shadow val="0"/>
        <u val="none"/>
        <vertAlign val="baseline"/>
        <sz val="8"/>
        <color rgb="FFE8EDF4"/>
        <name val="Century Gothic"/>
        <family val="2"/>
        <scheme val="none"/>
      </font>
      <fill>
        <patternFill patternType="solid">
          <fgColor rgb="FFF5F5F5"/>
          <bgColor rgb="FFFFFFFF"/>
        </patternFill>
      </fill>
      <alignment horizontal="left" vertical="center" textRotation="0" wrapText="1" indent="0" justifyLastLine="0" shrinkToFit="0" readingOrder="0"/>
      <border diagonalUp="0" diagonalDown="0" outline="0">
        <left style="thin">
          <color rgb="FFCBD5E1"/>
        </left>
        <right style="thin">
          <color rgb="FFCBD5E1"/>
        </right>
        <top style="thin">
          <color rgb="FFCBD5E1"/>
        </top>
        <bottom style="thin">
          <color rgb="FFCBD5E1"/>
        </bottom>
      </border>
    </dxf>
    <dxf>
      <font>
        <b val="0"/>
        <i val="0"/>
        <strike val="0"/>
        <condense val="0"/>
        <extend val="0"/>
        <outline val="0"/>
        <shadow val="0"/>
        <u val="none"/>
        <vertAlign val="baseline"/>
        <sz val="9"/>
        <color rgb="FF1E293B"/>
        <name val="Century Gothic"/>
        <family val="2"/>
        <scheme val="none"/>
      </font>
      <fill>
        <patternFill patternType="solid">
          <fgColor rgb="FFF5F5F5"/>
          <bgColor rgb="FFFFFFFF"/>
        </patternFill>
      </fill>
      <alignment horizontal="center" vertical="center" textRotation="0" wrapText="1" indent="0" justifyLastLine="0" shrinkToFit="0" readingOrder="0"/>
      <border diagonalUp="0" diagonalDown="0" outline="0">
        <left/>
        <right style="thin">
          <color rgb="FFCBD5E1"/>
        </right>
        <top style="thin">
          <color rgb="FFCBD5E1"/>
        </top>
        <bottom style="thin">
          <color rgb="FFCBD5E1"/>
        </bottom>
      </border>
    </dxf>
    <dxf>
      <font>
        <b val="0"/>
        <i val="0"/>
        <strike val="0"/>
        <condense val="0"/>
        <extend val="0"/>
        <outline val="0"/>
        <shadow val="0"/>
        <u val="none"/>
        <vertAlign val="baseline"/>
        <sz val="8"/>
        <color rgb="FF374151"/>
        <name val="Courier New"/>
        <family val="3"/>
        <scheme val="none"/>
      </font>
      <fill>
        <patternFill patternType="solid">
          <fgColor rgb="FFF5F5F5"/>
          <bgColor rgb="FFFFFFFF"/>
        </patternFill>
      </fill>
      <alignment horizontal="center" vertical="center" textRotation="0" wrapText="1" indent="0" justifyLastLine="0" shrinkToFit="0" readingOrder="0"/>
      <border diagonalUp="0" diagonalDown="0">
        <left style="thin">
          <color rgb="FFCBD5E1"/>
        </left>
        <right/>
        <top style="thin">
          <color rgb="FFCBD5E1"/>
        </top>
        <bottom style="thin">
          <color rgb="FFCBD5E1"/>
        </bottom>
        <vertical/>
        <horizontal/>
      </border>
    </dxf>
    <dxf>
      <font>
        <b val="0"/>
        <i val="0"/>
        <strike val="0"/>
        <condense val="0"/>
        <extend val="0"/>
        <outline val="0"/>
        <shadow val="0"/>
        <u val="none"/>
        <vertAlign val="baseline"/>
        <sz val="9"/>
        <color rgb="FF1E293B"/>
        <name val="Century Gothic"/>
        <family val="2"/>
        <scheme val="none"/>
      </font>
      <fill>
        <patternFill patternType="solid">
          <fgColor rgb="FFF5F5F5"/>
          <bgColor rgb="FFFFFFFF"/>
        </patternFill>
      </fill>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9"/>
        <color rgb="FF1E293B"/>
        <name val="Century Gothic"/>
        <family val="2"/>
        <scheme val="none"/>
      </font>
      <fill>
        <patternFill patternType="solid">
          <fgColor rgb="FFF5F5F5"/>
          <bgColor rgb="FFFFFFFF"/>
        </patternFill>
      </fill>
      <alignment horizontal="left"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9"/>
        <color rgb="FF1E293B"/>
        <name val="Century Gothic"/>
        <family val="2"/>
        <scheme val="none"/>
      </font>
      <fill>
        <patternFill patternType="solid">
          <fgColor rgb="FFF5F5F5"/>
          <bgColor rgb="FFFFFFFF"/>
        </patternFill>
      </fill>
      <alignment horizontal="left"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9"/>
        <color rgb="FF374151"/>
        <name val="Century Gothic"/>
        <family val="2"/>
        <scheme val="none"/>
      </font>
      <numFmt numFmtId="165" formatCode="0.0"/>
      <fill>
        <patternFill patternType="solid">
          <fgColor rgb="FFF5F5F5"/>
          <bgColor rgb="FFFFFFFF"/>
        </patternFill>
      </fill>
      <alignment horizontal="center" vertical="center" textRotation="0" wrapText="1" indent="0" justifyLastLine="0" shrinkToFit="0" readingOrder="0"/>
      <border diagonalUp="0" diagonalDown="0">
        <left style="thin">
          <color rgb="FFCBD5E1"/>
        </left>
        <right style="thin">
          <color rgb="FFCBD5E1"/>
        </right>
        <top style="thin">
          <color rgb="FFCBD5E1"/>
        </top>
        <bottom style="thin">
          <color rgb="FFCBD5E1"/>
        </bottom>
        <vertical/>
        <horizontal/>
      </border>
    </dxf>
    <dxf>
      <border outline="0">
        <top style="thin">
          <color rgb="FFCBD5E1"/>
        </top>
      </border>
    </dxf>
    <dxf>
      <border outline="0">
        <bottom style="thin">
          <color rgb="FFCBD5E1"/>
        </bottom>
      </border>
    </dxf>
    <dxf>
      <border outline="0">
        <left style="thin">
          <color rgb="FFCBD5E1"/>
        </left>
        <right style="thin">
          <color rgb="FFCBD5E1"/>
        </right>
        <top style="thin">
          <color rgb="FFCBD5E1"/>
        </top>
        <bottom style="thin">
          <color rgb="FFCBD5E1"/>
        </bottom>
      </border>
    </dxf>
    <dxf>
      <font>
        <b/>
        <i val="0"/>
        <strike val="0"/>
        <condense val="0"/>
        <extend val="0"/>
        <outline val="0"/>
        <shadow val="0"/>
        <u val="none"/>
        <vertAlign val="baseline"/>
        <sz val="10"/>
        <color rgb="FFFFFFFF"/>
        <name val="Century Gothic"/>
        <family val="2"/>
        <scheme val="none"/>
      </font>
      <fill>
        <patternFill patternType="solid">
          <fgColor rgb="FF1E293B"/>
          <bgColor rgb="FF0D1E3D"/>
        </patternFill>
      </fill>
      <alignment horizontal="center" vertical="center" textRotation="0" wrapText="1" indent="0" justifyLastLine="0" shrinkToFit="0" readingOrder="0"/>
      <border diagonalUp="0" diagonalDown="0" outline="0">
        <left style="thin">
          <color rgb="FFCBD5E1"/>
        </left>
        <right style="thin">
          <color rgb="FFCBD5E1"/>
        </right>
        <top/>
        <bottom/>
      </border>
    </dxf>
  </dxfs>
  <tableStyles count="0" defaultTableStyle="TableStyleMedium2" defaultPivotStyle="PivotStyleLight16"/>
  <colors>
    <mruColors>
      <color rgb="FFE8ED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Reasons for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'Survey Dashboard'!$B$3</c:f>
              <c:strCache>
                <c:ptCount val="1"/>
                <c:pt idx="0">
                  <c:v>Purchase Reason</c:v>
                </c:pt>
              </c:strCache>
            </c:strRef>
          </c:tx>
          <c:spPr>
            <a:solidFill>
              <a:srgbClr val="00206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'Survey Dashboard'!$A$4:$A$7</c:f>
              <c:strCache>
                <c:ptCount val="4"/>
                <c:pt idx="0">
                  <c:v>Personal residence</c:v>
                </c:pt>
                <c:pt idx="1">
                  <c:v>Investment</c:v>
                </c:pt>
                <c:pt idx="2">
                  <c:v>Land banking / future development</c:v>
                </c:pt>
                <c:pt idx="3">
                  <c:v>Both investment and personal residence</c:v>
                </c:pt>
              </c:strCache>
            </c:strRef>
          </c:cat>
          <c:val>
            <c:numRef>
              <c:f>'Survey Dashboard'!$B$4:$B$7</c:f>
              <c:numCache>
                <c:formatCode>General</c:formatCode>
                <c:ptCount val="4"/>
                <c:pt idx="0">
                  <c:v>39</c:v>
                </c:pt>
                <c:pt idx="1">
                  <c:v>36</c:v>
                </c:pt>
                <c:pt idx="2">
                  <c:v>8</c:v>
                </c:pt>
                <c:pt idx="3">
                  <c:v>1</c:v>
                </c:pt>
              </c:numCache>
            </c:numRef>
          </c:val>
          <c:extLst>
            <c:ext xmlns:c16="http://schemas.microsoft.com/office/drawing/2014/chart" uri="{C3380CC4-5D6E-409C-BE32-E72D297353CC}">
              <c16:uniqueId val="{00000000-B6C0-4B7E-8A20-B906C970E51E}"/>
            </c:ext>
          </c:extLst>
        </c:ser>
        <c:dLbls>
          <c:dLblPos val="outEnd"/>
          <c:showLegendKey val="0"/>
          <c:showVal val="1"/>
          <c:showCatName val="0"/>
          <c:showSerName val="0"/>
          <c:showPercent val="0"/>
          <c:showBubbleSize val="0"/>
        </c:dLbls>
        <c:gapWidth val="65"/>
        <c:axId val="471924111"/>
        <c:axId val="471926031"/>
      </c:barChart>
      <c:catAx>
        <c:axId val="471924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0" i="0" u="none" strike="noStrike" kern="1200" cap="all" baseline="0">
                <a:solidFill>
                  <a:schemeClr val="dk1">
                    <a:lumMod val="75000"/>
                    <a:lumOff val="25000"/>
                  </a:schemeClr>
                </a:solidFill>
                <a:latin typeface="+mn-lt"/>
                <a:ea typeface="+mn-ea"/>
                <a:cs typeface="+mn-cs"/>
              </a:defRPr>
            </a:pPr>
            <a:endParaRPr lang="en-US"/>
          </a:p>
        </c:txPr>
        <c:crossAx val="471926031"/>
        <c:crosses val="autoZero"/>
        <c:auto val="1"/>
        <c:lblAlgn val="ctr"/>
        <c:lblOffset val="100"/>
        <c:noMultiLvlLbl val="0"/>
      </c:catAx>
      <c:valAx>
        <c:axId val="471926031"/>
        <c:scaling>
          <c:orientation val="minMax"/>
        </c:scaling>
        <c:delete val="1"/>
        <c:axPos val="l"/>
        <c:numFmt formatCode="General" sourceLinked="1"/>
        <c:majorTickMark val="none"/>
        <c:minorTickMark val="none"/>
        <c:tickLblPos val="nextTo"/>
        <c:crossAx val="47192411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Purchase</a:t>
            </a:r>
            <a:r>
              <a:rPr lang="en-US" sz="1200" baseline="0"/>
              <a:t> Decision Factor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'Survey Dashboard'!$B$10</c:f>
              <c:strCache>
                <c:ptCount val="1"/>
                <c:pt idx="0">
                  <c:v>Top Factors</c:v>
                </c:pt>
              </c:strCache>
            </c:strRef>
          </c:tx>
          <c:spPr>
            <a:solidFill>
              <a:srgbClr val="00206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'Survey Dashboard'!$A$11:$A$16</c:f>
              <c:strCache>
                <c:ptCount val="6"/>
                <c:pt idx="0">
                  <c:v>Brand reputation</c:v>
                </c:pt>
                <c:pt idx="1">
                  <c:v>Location</c:v>
                </c:pt>
                <c:pt idx="2">
                  <c:v>Sales rep recommendation</c:v>
                </c:pt>
                <c:pt idx="3">
                  <c:v>Payment plan flexibility</c:v>
                </c:pt>
                <c:pt idx="4">
                  <c:v>Infrastructure plans</c:v>
                </c:pt>
                <c:pt idx="5">
                  <c:v>Price affordability</c:v>
                </c:pt>
              </c:strCache>
            </c:strRef>
          </c:cat>
          <c:val>
            <c:numRef>
              <c:f>'Survey Dashboard'!$B$11:$B$16</c:f>
              <c:numCache>
                <c:formatCode>General</c:formatCode>
                <c:ptCount val="6"/>
                <c:pt idx="0">
                  <c:v>30</c:v>
                </c:pt>
                <c:pt idx="1">
                  <c:v>19</c:v>
                </c:pt>
                <c:pt idx="2">
                  <c:v>11</c:v>
                </c:pt>
                <c:pt idx="3">
                  <c:v>10</c:v>
                </c:pt>
                <c:pt idx="4">
                  <c:v>7</c:v>
                </c:pt>
                <c:pt idx="5">
                  <c:v>7</c:v>
                </c:pt>
              </c:numCache>
            </c:numRef>
          </c:val>
          <c:extLst>
            <c:ext xmlns:c16="http://schemas.microsoft.com/office/drawing/2014/chart" uri="{C3380CC4-5D6E-409C-BE32-E72D297353CC}">
              <c16:uniqueId val="{00000000-58AD-4BB6-B39B-7A6C9842A4FA}"/>
            </c:ext>
          </c:extLst>
        </c:ser>
        <c:dLbls>
          <c:dLblPos val="outEnd"/>
          <c:showLegendKey val="0"/>
          <c:showVal val="1"/>
          <c:showCatName val="0"/>
          <c:showSerName val="0"/>
          <c:showPercent val="0"/>
          <c:showBubbleSize val="0"/>
        </c:dLbls>
        <c:gapWidth val="65"/>
        <c:axId val="471924111"/>
        <c:axId val="471926031"/>
      </c:barChart>
      <c:catAx>
        <c:axId val="471924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500" b="0" i="0" u="none" strike="noStrike" kern="1200" cap="all" baseline="0">
                <a:solidFill>
                  <a:schemeClr val="dk1">
                    <a:lumMod val="75000"/>
                    <a:lumOff val="25000"/>
                  </a:schemeClr>
                </a:solidFill>
                <a:latin typeface="+mn-lt"/>
                <a:ea typeface="+mn-ea"/>
                <a:cs typeface="+mn-cs"/>
              </a:defRPr>
            </a:pPr>
            <a:endParaRPr lang="en-US"/>
          </a:p>
        </c:txPr>
        <c:crossAx val="471926031"/>
        <c:crosses val="autoZero"/>
        <c:auto val="1"/>
        <c:lblAlgn val="ctr"/>
        <c:lblOffset val="100"/>
        <c:noMultiLvlLbl val="0"/>
      </c:catAx>
      <c:valAx>
        <c:axId val="471926031"/>
        <c:scaling>
          <c:orientation val="minMax"/>
        </c:scaling>
        <c:delete val="1"/>
        <c:axPos val="l"/>
        <c:numFmt formatCode="General" sourceLinked="1"/>
        <c:majorTickMark val="none"/>
        <c:minorTickMark val="none"/>
        <c:tickLblPos val="nextTo"/>
        <c:crossAx val="47192411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Overall Satisafaction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4753676153318138"/>
          <c:y val="0.13306731203513714"/>
          <c:w val="0.50144686807492511"/>
          <c:h val="0.6715059877763554"/>
        </c:manualLayout>
      </c:layout>
      <c:doughnutChart>
        <c:varyColors val="1"/>
        <c:ser>
          <c:idx val="0"/>
          <c:order val="0"/>
          <c:tx>
            <c:strRef>
              <c:f>'Survey Dashboard'!$B$19</c:f>
              <c:strCache>
                <c:ptCount val="1"/>
                <c:pt idx="0">
                  <c:v>Overall Satisfaction</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4336-4AAE-82A3-E418D933A11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4336-4AAE-82A3-E418D933A113}"/>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4336-4AAE-82A3-E418D933A1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36-4AAE-82A3-E418D933A113}"/>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4336-4AAE-82A3-E418D933A113}"/>
              </c:ext>
            </c:extLst>
          </c:dPt>
          <c:dLbls>
            <c:dLbl>
              <c:idx val="0"/>
              <c:layout>
                <c:manualLayout>
                  <c:x val="-0.14053208971867248"/>
                  <c:y val="-0.1832676878305776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0606460064726"/>
                      <c:h val="8.823090771197889E-2"/>
                    </c:manualLayout>
                  </c15:layout>
                </c:ext>
                <c:ext xmlns:c16="http://schemas.microsoft.com/office/drawing/2014/chart" uri="{C3380CC4-5D6E-409C-BE32-E72D297353CC}">
                  <c16:uniqueId val="{00000001-4336-4AAE-82A3-E418D933A113}"/>
                </c:ext>
              </c:extLst>
            </c:dLbl>
            <c:dLbl>
              <c:idx val="1"/>
              <c:layout>
                <c:manualLayout>
                  <c:x val="0.15064945293524723"/>
                  <c:y val="-6.234324769742882E-2"/>
                </c:manualLayout>
              </c:layout>
              <c:showLegendKey val="0"/>
              <c:showVal val="1"/>
              <c:showCatName val="0"/>
              <c:showSerName val="0"/>
              <c:showPercent val="0"/>
              <c:showBubbleSize val="0"/>
              <c:extLst>
                <c:ext xmlns:c15="http://schemas.microsoft.com/office/drawing/2012/chart" uri="{CE6537A1-D6FC-4f65-9D91-7224C49458BB}">
                  <c15:layout>
                    <c:manualLayout>
                      <c:w val="0.1018501045012849"/>
                      <c:h val="7.2274105271724745E-2"/>
                    </c:manualLayout>
                  </c15:layout>
                </c:ext>
                <c:ext xmlns:c16="http://schemas.microsoft.com/office/drawing/2014/chart" uri="{C3380CC4-5D6E-409C-BE32-E72D297353CC}">
                  <c16:uniqueId val="{00000003-4336-4AAE-82A3-E418D933A113}"/>
                </c:ext>
              </c:extLst>
            </c:dLbl>
            <c:dLbl>
              <c:idx val="2"/>
              <c:layout>
                <c:manualLayout>
                  <c:x val="0.15439148775253297"/>
                  <c:y val="0.1038783580514428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501045012849"/>
                      <c:h val="0.10328185720970925"/>
                    </c:manualLayout>
                  </c15:layout>
                </c:ext>
                <c:ext xmlns:c16="http://schemas.microsoft.com/office/drawing/2014/chart" uri="{C3380CC4-5D6E-409C-BE32-E72D297353CC}">
                  <c16:uniqueId val="{00000005-4336-4AAE-82A3-E418D933A113}"/>
                </c:ext>
              </c:extLst>
            </c:dLbl>
            <c:dLbl>
              <c:idx val="3"/>
              <c:layout>
                <c:manualLayout>
                  <c:x val="0.1010452823073698"/>
                  <c:y val="0.13310282400781998"/>
                </c:manualLayout>
              </c:layout>
              <c:showLegendKey val="0"/>
              <c:showVal val="1"/>
              <c:showCatName val="0"/>
              <c:showSerName val="0"/>
              <c:showPercent val="0"/>
              <c:showBubbleSize val="0"/>
              <c:extLst>
                <c:ext xmlns:c15="http://schemas.microsoft.com/office/drawing/2012/chart" uri="{CE6537A1-D6FC-4f65-9D91-7224C49458BB}">
                  <c15:layout>
                    <c:manualLayout>
                      <c:w val="0.10665010324144272"/>
                      <c:h val="7.2274105271724745E-2"/>
                    </c:manualLayout>
                  </c15:layout>
                </c:ext>
                <c:ext xmlns:c16="http://schemas.microsoft.com/office/drawing/2014/chart" uri="{C3380CC4-5D6E-409C-BE32-E72D297353CC}">
                  <c16:uniqueId val="{00000007-4336-4AAE-82A3-E418D933A113}"/>
                </c:ext>
              </c:extLst>
            </c:dLbl>
            <c:dLbl>
              <c:idx val="4"/>
              <c:layout>
                <c:manualLayout>
                  <c:x val="2.1347149311956828E-2"/>
                  <c:y val="0.13852246806725099"/>
                </c:manualLayout>
              </c:layout>
              <c:showLegendKey val="0"/>
              <c:showVal val="1"/>
              <c:showCatName val="0"/>
              <c:showSerName val="0"/>
              <c:showPercent val="0"/>
              <c:showBubbleSize val="0"/>
              <c:extLst>
                <c:ext xmlns:c15="http://schemas.microsoft.com/office/drawing/2012/chart" uri="{CE6537A1-D6FC-4f65-9D91-7224C49458BB}">
                  <c15:layout>
                    <c:manualLayout>
                      <c:w val="0.12025957432928579"/>
                      <c:h val="8.3742725179927369E-2"/>
                    </c:manualLayout>
                  </c15:layout>
                </c:ext>
                <c:ext xmlns:c16="http://schemas.microsoft.com/office/drawing/2014/chart" uri="{C3380CC4-5D6E-409C-BE32-E72D297353CC}">
                  <c16:uniqueId val="{00000009-4336-4AAE-82A3-E418D933A11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'Survey Dashboard'!$A$20:$A$24</c:f>
              <c:strCache>
                <c:ptCount val="5"/>
                <c:pt idx="0">
                  <c:v>Excellent</c:v>
                </c:pt>
                <c:pt idx="1">
                  <c:v>Good</c:v>
                </c:pt>
                <c:pt idx="2">
                  <c:v>Outstanding</c:v>
                </c:pt>
                <c:pt idx="3">
                  <c:v>Average</c:v>
                </c:pt>
                <c:pt idx="4">
                  <c:v>Poor</c:v>
                </c:pt>
              </c:strCache>
            </c:strRef>
          </c:cat>
          <c:val>
            <c:numRef>
              <c:f>'Survey Dashboard'!$B$20:$B$24</c:f>
              <c:numCache>
                <c:formatCode>General</c:formatCode>
                <c:ptCount val="5"/>
                <c:pt idx="0">
                  <c:v>40</c:v>
                </c:pt>
                <c:pt idx="1">
                  <c:v>17</c:v>
                </c:pt>
                <c:pt idx="2">
                  <c:v>17</c:v>
                </c:pt>
                <c:pt idx="3">
                  <c:v>5</c:v>
                </c:pt>
                <c:pt idx="4">
                  <c:v>5</c:v>
                </c:pt>
              </c:numCache>
            </c:numRef>
          </c:val>
          <c:extLst>
            <c:ext xmlns:c16="http://schemas.microsoft.com/office/drawing/2014/chart" uri="{C3380CC4-5D6E-409C-BE32-E72D297353CC}">
              <c16:uniqueId val="{0000000A-4336-4AAE-82A3-E418D933A113}"/>
            </c:ext>
          </c:extLst>
        </c:ser>
        <c:dLbls>
          <c:showLegendKey val="0"/>
          <c:showVal val="0"/>
          <c:showCatName val="0"/>
          <c:showSerName val="0"/>
          <c:showPercent val="0"/>
          <c:showBubbleSize val="0"/>
          <c:showLeaderLines val="1"/>
        </c:dLbls>
        <c:firstSliceAng val="186"/>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Property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0396577764441695"/>
          <c:y val="0.1824381158941959"/>
          <c:w val="0.51150171051079396"/>
          <c:h val="0.68497079797200877"/>
        </c:manualLayout>
      </c:layout>
      <c:doughnutChart>
        <c:varyColors val="1"/>
        <c:ser>
          <c:idx val="0"/>
          <c:order val="0"/>
          <c:tx>
            <c:strRef>
              <c:f>'Survey Dashboard'!$B$27</c:f>
              <c:strCache>
                <c:ptCount val="1"/>
                <c:pt idx="0">
                  <c:v>Property Satisfaction</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FAA-4CAE-A610-9D74C6A1E0C8}"/>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CFAA-4CAE-A610-9D74C6A1E0C8}"/>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CFAA-4CAE-A610-9D74C6A1E0C8}"/>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CFAA-4CAE-A610-9D74C6A1E0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AA-4CAE-A610-9D74C6A1E0C8}"/>
              </c:ext>
            </c:extLst>
          </c:dPt>
          <c:dLbls>
            <c:dLbl>
              <c:idx val="0"/>
              <c:layout>
                <c:manualLayout>
                  <c:x val="-0.19400587770375302"/>
                  <c:y val="0.10383176836457608"/>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0606460064726"/>
                      <c:h val="8.823090771197889E-2"/>
                    </c:manualLayout>
                  </c15:layout>
                </c:ext>
                <c:ext xmlns:c16="http://schemas.microsoft.com/office/drawing/2014/chart" uri="{C3380CC4-5D6E-409C-BE32-E72D297353CC}">
                  <c16:uniqueId val="{00000001-CFAA-4CAE-A610-9D74C6A1E0C8}"/>
                </c:ext>
              </c:extLst>
            </c:dLbl>
            <c:dLbl>
              <c:idx val="1"/>
              <c:layout>
                <c:manualLayout>
                  <c:x val="0.18845172092766571"/>
                  <c:y val="-9.6202716535294733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0145391438183"/>
                      <c:h val="8.5739034308053644E-2"/>
                    </c:manualLayout>
                  </c15:layout>
                </c:ext>
                <c:ext xmlns:c16="http://schemas.microsoft.com/office/drawing/2014/chart" uri="{C3380CC4-5D6E-409C-BE32-E72D297353CC}">
                  <c16:uniqueId val="{00000003-CFAA-4CAE-A610-9D74C6A1E0C8}"/>
                </c:ext>
              </c:extLst>
            </c:dLbl>
            <c:dLbl>
              <c:idx val="2"/>
              <c:layout>
                <c:manualLayout>
                  <c:x val="0.17200707107341451"/>
                  <c:y val="5.935073876965844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95969670794959"/>
                      <c:h val="0.10328180893540355"/>
                    </c:manualLayout>
                  </c15:layout>
                </c:ext>
                <c:ext xmlns:c16="http://schemas.microsoft.com/office/drawing/2014/chart" uri="{C3380CC4-5D6E-409C-BE32-E72D297353CC}">
                  <c16:uniqueId val="{00000005-CFAA-4CAE-A610-9D74C6A1E0C8}"/>
                </c:ext>
              </c:extLst>
            </c:dLbl>
            <c:dLbl>
              <c:idx val="3"/>
              <c:layout>
                <c:manualLayout>
                  <c:x val="3.9894443296236641E-2"/>
                  <c:y val="0.1126972776456225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27603577412655"/>
                      <c:h val="8.5739034308053644E-2"/>
                    </c:manualLayout>
                  </c15:layout>
                </c:ext>
                <c:ext xmlns:c16="http://schemas.microsoft.com/office/drawing/2014/chart" uri="{C3380CC4-5D6E-409C-BE32-E72D297353CC}">
                  <c16:uniqueId val="{00000007-CFAA-4CAE-A610-9D74C6A1E0C8}"/>
                </c:ext>
              </c:extLst>
            </c:dLbl>
            <c:dLbl>
              <c:idx val="4"/>
              <c:layout>
                <c:manualLayout>
                  <c:x val="7.8370107402079309E-2"/>
                  <c:y val="0.17357430278081887"/>
                </c:manualLayout>
              </c:layout>
              <c:showLegendKey val="0"/>
              <c:showVal val="1"/>
              <c:showCatName val="0"/>
              <c:showSerName val="0"/>
              <c:showPercent val="0"/>
              <c:showBubbleSize val="0"/>
              <c:extLst>
                <c:ext xmlns:c15="http://schemas.microsoft.com/office/drawing/2012/chart" uri="{CE6537A1-D6FC-4f65-9D91-7224C49458BB}">
                  <c15:layout>
                    <c:manualLayout>
                      <c:w val="9.3316773407671E-2"/>
                      <c:h val="8.3742904229994503E-2"/>
                    </c:manualLayout>
                  </c15:layout>
                </c:ext>
                <c:ext xmlns:c16="http://schemas.microsoft.com/office/drawing/2014/chart" uri="{C3380CC4-5D6E-409C-BE32-E72D297353CC}">
                  <c16:uniqueId val="{00000009-CFAA-4CAE-A610-9D74C6A1E0C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'Survey Dashboard'!$A$28:$A$31</c:f>
              <c:strCache>
                <c:ptCount val="4"/>
                <c:pt idx="0">
                  <c:v>Satisfied</c:v>
                </c:pt>
                <c:pt idx="1">
                  <c:v>Very Satisfied</c:v>
                </c:pt>
                <c:pt idx="2">
                  <c:v>Dissatisfied</c:v>
                </c:pt>
                <c:pt idx="3">
                  <c:v>Very Dissatisfied</c:v>
                </c:pt>
              </c:strCache>
            </c:strRef>
          </c:cat>
          <c:val>
            <c:numRef>
              <c:f>'Survey Dashboard'!$B$28:$B$31</c:f>
              <c:numCache>
                <c:formatCode>General</c:formatCode>
                <c:ptCount val="4"/>
                <c:pt idx="0">
                  <c:v>44</c:v>
                </c:pt>
                <c:pt idx="1">
                  <c:v>23</c:v>
                </c:pt>
                <c:pt idx="2">
                  <c:v>12</c:v>
                </c:pt>
                <c:pt idx="3">
                  <c:v>5</c:v>
                </c:pt>
              </c:numCache>
            </c:numRef>
          </c:val>
          <c:extLst>
            <c:ext xmlns:c16="http://schemas.microsoft.com/office/drawing/2014/chart" uri="{C3380CC4-5D6E-409C-BE32-E72D297353CC}">
              <c16:uniqueId val="{0000000A-CFAA-4CAE-A610-9D74C6A1E0C8}"/>
            </c:ext>
          </c:extLst>
        </c:ser>
        <c:dLbls>
          <c:showLegendKey val="0"/>
          <c:showVal val="0"/>
          <c:showCatName val="0"/>
          <c:showSerName val="0"/>
          <c:showPercent val="0"/>
          <c:showBubbleSize val="0"/>
          <c:showLeaderLines val="1"/>
        </c:dLbls>
        <c:firstSliceAng val="174"/>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Sales Team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2742707666144399"/>
          <c:y val="0.1824381158941959"/>
          <c:w val="0.45372141255501541"/>
          <c:h val="0.66377293126891257"/>
        </c:manualLayout>
      </c:layout>
      <c:doughnutChart>
        <c:varyColors val="1"/>
        <c:ser>
          <c:idx val="0"/>
          <c:order val="0"/>
          <c:tx>
            <c:strRef>
              <c:f>'Survey Dashboard'!$B$34</c:f>
              <c:strCache>
                <c:ptCount val="1"/>
                <c:pt idx="0">
                  <c:v>Sales Team Experience</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872-4E9F-B30D-569EC872504A}"/>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5872-4E9F-B30D-569EC872504A}"/>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5872-4E9F-B30D-569EC872504A}"/>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5872-4E9F-B30D-569EC87250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872-4E9F-B30D-569EC872504A}"/>
              </c:ext>
            </c:extLst>
          </c:dPt>
          <c:dLbls>
            <c:dLbl>
              <c:idx val="0"/>
              <c:layout>
                <c:manualLayout>
                  <c:x val="0.15940916882103337"/>
                  <c:y val="0.1044957638326474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0606460064726"/>
                      <c:h val="8.823090771197889E-2"/>
                    </c:manualLayout>
                  </c15:layout>
                </c:ext>
                <c:ext xmlns:c16="http://schemas.microsoft.com/office/drawing/2014/chart" uri="{C3380CC4-5D6E-409C-BE32-E72D297353CC}">
                  <c16:uniqueId val="{00000001-5872-4E9F-B30D-569EC872504A}"/>
                </c:ext>
              </c:extLst>
            </c:dLbl>
            <c:dLbl>
              <c:idx val="1"/>
              <c:layout>
                <c:manualLayout>
                  <c:x val="-0.18865299544607"/>
                  <c:y val="-0.1071314627895480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0145391438183"/>
                      <c:h val="8.5739034308053644E-2"/>
                    </c:manualLayout>
                  </c15:layout>
                </c:ext>
                <c:ext xmlns:c16="http://schemas.microsoft.com/office/drawing/2014/chart" uri="{C3380CC4-5D6E-409C-BE32-E72D297353CC}">
                  <c16:uniqueId val="{00000003-5872-4E9F-B30D-569EC872504A}"/>
                </c:ext>
              </c:extLst>
            </c:dLbl>
            <c:dLbl>
              <c:idx val="2"/>
              <c:layout>
                <c:manualLayout>
                  <c:x val="0.10439541521581663"/>
                  <c:y val="-0.13403479699157908"/>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95969670794959"/>
                      <c:h val="0.10328180893540355"/>
                    </c:manualLayout>
                  </c15:layout>
                </c:ext>
                <c:ext xmlns:c16="http://schemas.microsoft.com/office/drawing/2014/chart" uri="{C3380CC4-5D6E-409C-BE32-E72D297353CC}">
                  <c16:uniqueId val="{00000005-5872-4E9F-B30D-569EC872504A}"/>
                </c:ext>
              </c:extLst>
            </c:dLbl>
            <c:dLbl>
              <c:idx val="3"/>
              <c:layout>
                <c:manualLayout>
                  <c:x val="0.17130871972698841"/>
                  <c:y val="-0.1111247453800280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27603577412655"/>
                      <c:h val="8.5739034308053644E-2"/>
                    </c:manualLayout>
                  </c15:layout>
                </c:ext>
                <c:ext xmlns:c16="http://schemas.microsoft.com/office/drawing/2014/chart" uri="{C3380CC4-5D6E-409C-BE32-E72D297353CC}">
                  <c16:uniqueId val="{00000007-5872-4E9F-B30D-569EC872504A}"/>
                </c:ext>
              </c:extLst>
            </c:dLbl>
            <c:dLbl>
              <c:idx val="4"/>
              <c:layout>
                <c:manualLayout>
                  <c:x val="7.8370107402079309E-2"/>
                  <c:y val="0.17357430278081887"/>
                </c:manualLayout>
              </c:layout>
              <c:showLegendKey val="0"/>
              <c:showVal val="1"/>
              <c:showCatName val="0"/>
              <c:showSerName val="0"/>
              <c:showPercent val="0"/>
              <c:showBubbleSize val="0"/>
              <c:extLst>
                <c:ext xmlns:c15="http://schemas.microsoft.com/office/drawing/2012/chart" uri="{CE6537A1-D6FC-4f65-9D91-7224C49458BB}">
                  <c15:layout>
                    <c:manualLayout>
                      <c:w val="9.3316773407671E-2"/>
                      <c:h val="8.3742904229994503E-2"/>
                    </c:manualLayout>
                  </c15:layout>
                </c:ext>
                <c:ext xmlns:c16="http://schemas.microsoft.com/office/drawing/2014/chart" uri="{C3380CC4-5D6E-409C-BE32-E72D297353CC}">
                  <c16:uniqueId val="{00000009-5872-4E9F-B30D-569EC872504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'Survey Dashboard'!$A$35:$A$38</c:f>
              <c:strCache>
                <c:ptCount val="4"/>
                <c:pt idx="0">
                  <c:v>Good</c:v>
                </c:pt>
                <c:pt idx="1">
                  <c:v>Excellent</c:v>
                </c:pt>
                <c:pt idx="2">
                  <c:v>Average</c:v>
                </c:pt>
                <c:pt idx="3">
                  <c:v>Poor</c:v>
                </c:pt>
              </c:strCache>
            </c:strRef>
          </c:cat>
          <c:val>
            <c:numRef>
              <c:f>'Survey Dashboard'!$B$35:$B$38</c:f>
              <c:numCache>
                <c:formatCode>General</c:formatCode>
                <c:ptCount val="4"/>
                <c:pt idx="0">
                  <c:v>34</c:v>
                </c:pt>
                <c:pt idx="1">
                  <c:v>32</c:v>
                </c:pt>
                <c:pt idx="2">
                  <c:v>14</c:v>
                </c:pt>
                <c:pt idx="3">
                  <c:v>4</c:v>
                </c:pt>
              </c:numCache>
            </c:numRef>
          </c:val>
          <c:extLst>
            <c:ext xmlns:c16="http://schemas.microsoft.com/office/drawing/2014/chart" uri="{C3380CC4-5D6E-409C-BE32-E72D297353CC}">
              <c16:uniqueId val="{0000000A-5872-4E9F-B30D-569EC872504A}"/>
            </c:ext>
          </c:extLst>
        </c:ser>
        <c:dLbls>
          <c:showLegendKey val="0"/>
          <c:showVal val="0"/>
          <c:showCatName val="0"/>
          <c:showSerName val="0"/>
          <c:showPercent val="0"/>
          <c:showBubbleSize val="0"/>
          <c:showLeaderLines val="1"/>
        </c:dLbls>
        <c:firstSliceAng val="43"/>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Information</a:t>
            </a:r>
            <a:r>
              <a:rPr lang="en-GB" baseline="0">
                <a:solidFill>
                  <a:sysClr val="windowText" lastClr="000000"/>
                </a:solidFill>
              </a:rPr>
              <a:t> Clarity</a:t>
            </a:r>
            <a:endParaRPr lang="en-GB">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22742707666144399"/>
          <c:y val="0.1824381158941959"/>
          <c:w val="0.48804041149376692"/>
          <c:h val="0.65355290751548456"/>
        </c:manualLayout>
      </c:layout>
      <c:doughnutChart>
        <c:varyColors val="1"/>
        <c:ser>
          <c:idx val="0"/>
          <c:order val="0"/>
          <c:tx>
            <c:strRef>
              <c:f>'Survey Dashboard'!$B$41</c:f>
              <c:strCache>
                <c:ptCount val="1"/>
                <c:pt idx="0">
                  <c:v>Information Clarity</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2A19-49FC-BFF9-14435B5AAC3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2A19-49FC-BFF9-14435B5AAC31}"/>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2A19-49FC-BFF9-14435B5AAC31}"/>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2A19-49FC-BFF9-14435B5AAC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19-49FC-BFF9-14435B5AAC31}"/>
              </c:ext>
            </c:extLst>
          </c:dPt>
          <c:dLbls>
            <c:dLbl>
              <c:idx val="0"/>
              <c:layout>
                <c:manualLayout>
                  <c:x val="0.21364428923216092"/>
                  <c:y val="-8.84486064804966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0606460064726"/>
                      <c:h val="8.823090771197889E-2"/>
                    </c:manualLayout>
                  </c15:layout>
                </c:ext>
                <c:ext xmlns:c16="http://schemas.microsoft.com/office/drawing/2014/chart" uri="{C3380CC4-5D6E-409C-BE32-E72D297353CC}">
                  <c16:uniqueId val="{00000001-2A19-49FC-BFF9-14435B5AAC31}"/>
                </c:ext>
              </c:extLst>
            </c:dLbl>
            <c:dLbl>
              <c:idx val="1"/>
              <c:layout>
                <c:manualLayout>
                  <c:x val="-0.15554058102399201"/>
                  <c:y val="-0.1135053637444584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0145391438183"/>
                      <c:h val="8.5739034308053644E-2"/>
                    </c:manualLayout>
                  </c15:layout>
                </c:ext>
                <c:ext xmlns:c16="http://schemas.microsoft.com/office/drawing/2014/chart" uri="{C3380CC4-5D6E-409C-BE32-E72D297353CC}">
                  <c16:uniqueId val="{00000003-2A19-49FC-BFF9-14435B5AAC31}"/>
                </c:ext>
              </c:extLst>
            </c:dLbl>
            <c:dLbl>
              <c:idx val="2"/>
              <c:layout>
                <c:manualLayout>
                  <c:x val="0.14168196665328647"/>
                  <c:y val="-0.1142455571427461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95969670794959"/>
                      <c:h val="0.10328180893540355"/>
                    </c:manualLayout>
                  </c15:layout>
                </c:ext>
                <c:ext xmlns:c16="http://schemas.microsoft.com/office/drawing/2014/chart" uri="{C3380CC4-5D6E-409C-BE32-E72D297353CC}">
                  <c16:uniqueId val="{00000005-2A19-49FC-BFF9-14435B5AAC31}"/>
                </c:ext>
              </c:extLst>
            </c:dLbl>
            <c:dLbl>
              <c:idx val="3"/>
              <c:layout>
                <c:manualLayout>
                  <c:x val="0.18150832800806696"/>
                  <c:y val="-9.582913383189406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27603577412655"/>
                      <c:h val="8.5739034308053644E-2"/>
                    </c:manualLayout>
                  </c15:layout>
                </c:ext>
                <c:ext xmlns:c16="http://schemas.microsoft.com/office/drawing/2014/chart" uri="{C3380CC4-5D6E-409C-BE32-E72D297353CC}">
                  <c16:uniqueId val="{00000007-2A19-49FC-BFF9-14435B5AAC31}"/>
                </c:ext>
              </c:extLst>
            </c:dLbl>
            <c:dLbl>
              <c:idx val="4"/>
              <c:layout>
                <c:manualLayout>
                  <c:x val="7.8370107402079309E-2"/>
                  <c:y val="0.173574302780818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19-49FC-BFF9-14435B5AAC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'Survey Dashboard'!$A$42:$A$45</c:f>
              <c:strCache>
                <c:ptCount val="4"/>
                <c:pt idx="0">
                  <c:v>Clear</c:v>
                </c:pt>
                <c:pt idx="1">
                  <c:v>Very Clear</c:v>
                </c:pt>
                <c:pt idx="2">
                  <c:v>Unclear</c:v>
                </c:pt>
                <c:pt idx="3">
                  <c:v>Very Unclear</c:v>
                </c:pt>
              </c:strCache>
            </c:strRef>
          </c:cat>
          <c:val>
            <c:numRef>
              <c:f>'Survey Dashboard'!$B$42:$B$45</c:f>
              <c:numCache>
                <c:formatCode>General</c:formatCode>
                <c:ptCount val="4"/>
                <c:pt idx="0">
                  <c:v>42</c:v>
                </c:pt>
                <c:pt idx="1">
                  <c:v>30</c:v>
                </c:pt>
                <c:pt idx="2">
                  <c:v>6</c:v>
                </c:pt>
                <c:pt idx="3">
                  <c:v>6</c:v>
                </c:pt>
              </c:numCache>
            </c:numRef>
          </c:val>
          <c:extLst>
            <c:ext xmlns:c16="http://schemas.microsoft.com/office/drawing/2014/chart" uri="{C3380CC4-5D6E-409C-BE32-E72D297353CC}">
              <c16:uniqueId val="{0000000A-2A19-49FC-BFF9-14435B5AAC31}"/>
            </c:ext>
          </c:extLst>
        </c:ser>
        <c:dLbls>
          <c:showLegendKey val="0"/>
          <c:showVal val="0"/>
          <c:showCatName val="0"/>
          <c:showSerName val="0"/>
          <c:showPercent val="0"/>
          <c:showBubbleSize val="0"/>
          <c:showLeaderLines val="1"/>
        </c:dLbls>
        <c:firstSliceAng val="43"/>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Rate of Responsiveness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22742707666144399"/>
          <c:y val="0.1824381158941959"/>
          <c:w val="0.48804041149376692"/>
          <c:h val="0.65355290751548456"/>
        </c:manualLayout>
      </c:layout>
      <c:doughnutChart>
        <c:varyColors val="1"/>
        <c:ser>
          <c:idx val="0"/>
          <c:order val="0"/>
          <c:tx>
            <c:strRef>
              <c:f>'Survey Dashboard'!$B$48</c:f>
              <c:strCache>
                <c:ptCount val="1"/>
                <c:pt idx="0">
                  <c:v>Responsiveness</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8107-4B32-82C6-DD3758A7C565}"/>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8107-4B32-82C6-DD3758A7C565}"/>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8107-4B32-82C6-DD3758A7C5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07-4B32-82C6-DD3758A7C565}"/>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8107-4B32-82C6-DD3758A7C565}"/>
              </c:ext>
            </c:extLst>
          </c:dPt>
          <c:dLbls>
            <c:dLbl>
              <c:idx val="0"/>
              <c:layout>
                <c:manualLayout>
                  <c:x val="-0.22022152424621819"/>
                  <c:y val="-0.1735069924774640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0606460064726"/>
                      <c:h val="8.823090771197889E-2"/>
                    </c:manualLayout>
                  </c15:layout>
                </c:ext>
                <c:ext xmlns:c16="http://schemas.microsoft.com/office/drawing/2014/chart" uri="{C3380CC4-5D6E-409C-BE32-E72D297353CC}">
                  <c16:uniqueId val="{00000001-8107-4B32-82C6-DD3758A7C565}"/>
                </c:ext>
              </c:extLst>
            </c:dLbl>
            <c:dLbl>
              <c:idx val="1"/>
              <c:layout>
                <c:manualLayout>
                  <c:x val="6.6872977889250618E-2"/>
                  <c:y val="-0.16278340393926127"/>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0145391438183"/>
                      <c:h val="8.5739034308053644E-2"/>
                    </c:manualLayout>
                  </c15:layout>
                </c:ext>
                <c:ext xmlns:c16="http://schemas.microsoft.com/office/drawing/2014/chart" uri="{C3380CC4-5D6E-409C-BE32-E72D297353CC}">
                  <c16:uniqueId val="{00000003-8107-4B32-82C6-DD3758A7C565}"/>
                </c:ext>
              </c:extLst>
            </c:dLbl>
            <c:dLbl>
              <c:idx val="2"/>
              <c:layout>
                <c:manualLayout>
                  <c:x val="0.15192698787366402"/>
                  <c:y val="-5.683210368803175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95969670794959"/>
                      <c:h val="0.10328180893540355"/>
                    </c:manualLayout>
                  </c15:layout>
                </c:ext>
                <c:ext xmlns:c16="http://schemas.microsoft.com/office/drawing/2014/chart" uri="{C3380CC4-5D6E-409C-BE32-E72D297353CC}">
                  <c16:uniqueId val="{00000005-8107-4B32-82C6-DD3758A7C565}"/>
                </c:ext>
              </c:extLst>
            </c:dLbl>
            <c:dLbl>
              <c:idx val="3"/>
              <c:layout>
                <c:manualLayout>
                  <c:x val="0.18489514873442772"/>
                  <c:y val="9.395813480823710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27603577412655"/>
                      <c:h val="8.5739034308053644E-2"/>
                    </c:manualLayout>
                  </c15:layout>
                </c:ext>
                <c:ext xmlns:c16="http://schemas.microsoft.com/office/drawing/2014/chart" uri="{C3380CC4-5D6E-409C-BE32-E72D297353CC}">
                  <c16:uniqueId val="{00000007-8107-4B32-82C6-DD3758A7C565}"/>
                </c:ext>
              </c:extLst>
            </c:dLbl>
            <c:dLbl>
              <c:idx val="4"/>
              <c:layout>
                <c:manualLayout>
                  <c:x val="0.15354884159412152"/>
                  <c:y val="9.6338156854810425E-2"/>
                </c:manualLayout>
              </c:layout>
              <c:showLegendKey val="0"/>
              <c:showVal val="1"/>
              <c:showCatName val="0"/>
              <c:showSerName val="0"/>
              <c:showPercent val="0"/>
              <c:showBubbleSize val="0"/>
              <c:extLst>
                <c:ext xmlns:c15="http://schemas.microsoft.com/office/drawing/2012/chart" uri="{CE6537A1-D6FC-4f65-9D91-7224C49458BB}">
                  <c15:layout>
                    <c:manualLayout>
                      <c:w val="0.14359102928834958"/>
                      <c:h val="8.374283503424676E-2"/>
                    </c:manualLayout>
                  </c15:layout>
                </c:ext>
                <c:ext xmlns:c16="http://schemas.microsoft.com/office/drawing/2014/chart" uri="{C3380CC4-5D6E-409C-BE32-E72D297353CC}">
                  <c16:uniqueId val="{00000009-8107-4B32-82C6-DD3758A7C56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'Survey Dashboard'!$A$49:$A$53</c:f>
              <c:strCache>
                <c:ptCount val="5"/>
                <c:pt idx="0">
                  <c:v>Responsive</c:v>
                </c:pt>
                <c:pt idx="1">
                  <c:v>Very Responsive</c:v>
                </c:pt>
                <c:pt idx="2">
                  <c:v>Neutral</c:v>
                </c:pt>
                <c:pt idx="3">
                  <c:v>Slow</c:v>
                </c:pt>
                <c:pt idx="4">
                  <c:v>Very Slow</c:v>
                </c:pt>
              </c:strCache>
            </c:strRef>
          </c:cat>
          <c:val>
            <c:numRef>
              <c:f>'Survey Dashboard'!$B$49:$B$53</c:f>
              <c:numCache>
                <c:formatCode>General</c:formatCode>
                <c:ptCount val="5"/>
                <c:pt idx="0">
                  <c:v>46</c:v>
                </c:pt>
                <c:pt idx="1">
                  <c:v>17</c:v>
                </c:pt>
                <c:pt idx="2">
                  <c:v>13</c:v>
                </c:pt>
                <c:pt idx="3">
                  <c:v>5</c:v>
                </c:pt>
                <c:pt idx="4">
                  <c:v>3</c:v>
                </c:pt>
              </c:numCache>
            </c:numRef>
          </c:val>
          <c:extLst>
            <c:ext xmlns:c16="http://schemas.microsoft.com/office/drawing/2014/chart" uri="{C3380CC4-5D6E-409C-BE32-E72D297353CC}">
              <c16:uniqueId val="{0000000A-8107-4B32-82C6-DD3758A7C565}"/>
            </c:ext>
          </c:extLst>
        </c:ser>
        <c:dLbls>
          <c:showLegendKey val="0"/>
          <c:showVal val="0"/>
          <c:showCatName val="0"/>
          <c:showSerName val="0"/>
          <c:showPercent val="0"/>
          <c:showBubbleSize val="0"/>
          <c:showLeaderLines val="1"/>
        </c:dLbls>
        <c:firstSliceAng val="161"/>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Suggested Improvement Stage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'Survey Dashboard'!$B$56</c:f>
              <c:strCache>
                <c:ptCount val="1"/>
                <c:pt idx="0">
                  <c:v>Improvement Stage</c:v>
                </c:pt>
              </c:strCache>
            </c:strRef>
          </c:tx>
          <c:spPr>
            <a:solidFill>
              <a:srgbClr val="00206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'Survey Dashboard'!$A$57:$A$61</c:f>
              <c:strCache>
                <c:ptCount val="5"/>
                <c:pt idx="0">
                  <c:v>Post-purchase support</c:v>
                </c:pt>
                <c:pt idx="1">
                  <c:v>Property inspection</c:v>
                </c:pt>
                <c:pt idx="2">
                  <c:v>Documentation</c:v>
                </c:pt>
                <c:pt idx="3">
                  <c:v>Initial inquiry response</c:v>
                </c:pt>
                <c:pt idx="4">
                  <c:v>Payment process</c:v>
                </c:pt>
              </c:strCache>
            </c:strRef>
          </c:cat>
          <c:val>
            <c:numRef>
              <c:f>'Survey Dashboard'!$B$57:$B$61</c:f>
              <c:numCache>
                <c:formatCode>General</c:formatCode>
                <c:ptCount val="5"/>
                <c:pt idx="0">
                  <c:v>44</c:v>
                </c:pt>
                <c:pt idx="1">
                  <c:v>13</c:v>
                </c:pt>
                <c:pt idx="2">
                  <c:v>9</c:v>
                </c:pt>
                <c:pt idx="3">
                  <c:v>9</c:v>
                </c:pt>
                <c:pt idx="4">
                  <c:v>9</c:v>
                </c:pt>
              </c:numCache>
            </c:numRef>
          </c:val>
          <c:extLst>
            <c:ext xmlns:c16="http://schemas.microsoft.com/office/drawing/2014/chart" uri="{C3380CC4-5D6E-409C-BE32-E72D297353CC}">
              <c16:uniqueId val="{00000000-D30B-49BC-A680-C0E3F1900E09}"/>
            </c:ext>
          </c:extLst>
        </c:ser>
        <c:dLbls>
          <c:dLblPos val="outEnd"/>
          <c:showLegendKey val="0"/>
          <c:showVal val="1"/>
          <c:showCatName val="0"/>
          <c:showSerName val="0"/>
          <c:showPercent val="0"/>
          <c:showBubbleSize val="0"/>
        </c:dLbls>
        <c:gapWidth val="65"/>
        <c:axId val="471924111"/>
        <c:axId val="471926031"/>
      </c:barChart>
      <c:catAx>
        <c:axId val="471924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mn-lt"/>
                <a:ea typeface="+mn-ea"/>
                <a:cs typeface="+mn-cs"/>
              </a:defRPr>
            </a:pPr>
            <a:endParaRPr lang="en-US"/>
          </a:p>
        </c:txPr>
        <c:crossAx val="471926031"/>
        <c:crosses val="autoZero"/>
        <c:auto val="1"/>
        <c:lblAlgn val="ctr"/>
        <c:lblOffset val="100"/>
        <c:noMultiLvlLbl val="0"/>
      </c:catAx>
      <c:valAx>
        <c:axId val="471926031"/>
        <c:scaling>
          <c:orientation val="minMax"/>
        </c:scaling>
        <c:delete val="1"/>
        <c:axPos val="l"/>
        <c:numFmt formatCode="General" sourceLinked="1"/>
        <c:majorTickMark val="none"/>
        <c:minorTickMark val="none"/>
        <c:tickLblPos val="nextTo"/>
        <c:crossAx val="47192411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Possibility of Recommendation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22742707666144399"/>
          <c:y val="0.1824381158941959"/>
          <c:w val="0.48804041149376692"/>
          <c:h val="0.65355290751548456"/>
        </c:manualLayout>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EABF-45BB-8FBD-2AA90873754F}"/>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ABF-45BB-8FBD-2AA90873754F}"/>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EABF-45BB-8FBD-2AA9087375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BF-45BB-8FBD-2AA9087375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BF-45BB-8FBD-2AA90873754F}"/>
              </c:ext>
            </c:extLst>
          </c:dPt>
          <c:dLbls>
            <c:dLbl>
              <c:idx val="0"/>
              <c:layout>
                <c:manualLayout>
                  <c:x val="0.16044390336494721"/>
                  <c:y val="-9.3243889196399823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10606460064726"/>
                      <c:h val="8.823090771197889E-2"/>
                    </c:manualLayout>
                  </c15:layout>
                </c:ext>
                <c:ext xmlns:c16="http://schemas.microsoft.com/office/drawing/2014/chart" uri="{C3380CC4-5D6E-409C-BE32-E72D297353CC}">
                  <c16:uniqueId val="{00000001-EABF-45BB-8FBD-2AA90873754F}"/>
                </c:ext>
              </c:extLst>
            </c:dLbl>
            <c:dLbl>
              <c:idx val="1"/>
              <c:layout>
                <c:manualLayout>
                  <c:x val="-0.15554058102399201"/>
                  <c:y val="-0.1135053637444584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0145391438183"/>
                      <c:h val="8.5739034308053644E-2"/>
                    </c:manualLayout>
                  </c15:layout>
                </c:ext>
                <c:ext xmlns:c16="http://schemas.microsoft.com/office/drawing/2014/chart" uri="{C3380CC4-5D6E-409C-BE32-E72D297353CC}">
                  <c16:uniqueId val="{00000003-EABF-45BB-8FBD-2AA90873754F}"/>
                </c:ext>
              </c:extLst>
            </c:dLbl>
            <c:dLbl>
              <c:idx val="2"/>
              <c:layout>
                <c:manualLayout>
                  <c:x val="0.14168196665328647"/>
                  <c:y val="-0.1142455571427461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95969670794959"/>
                      <c:h val="0.10328180893540355"/>
                    </c:manualLayout>
                  </c15:layout>
                </c:ext>
                <c:ext xmlns:c16="http://schemas.microsoft.com/office/drawing/2014/chart" uri="{C3380CC4-5D6E-409C-BE32-E72D297353CC}">
                  <c16:uniqueId val="{00000005-EABF-45BB-8FBD-2AA90873754F}"/>
                </c:ext>
              </c:extLst>
            </c:dLbl>
            <c:dLbl>
              <c:idx val="3"/>
              <c:layout>
                <c:manualLayout>
                  <c:x val="0.1882572635680333"/>
                  <c:y val="-7.649372808434272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27603577412655"/>
                      <c:h val="8.5739034308053644E-2"/>
                    </c:manualLayout>
                  </c15:layout>
                </c:ext>
                <c:ext xmlns:c16="http://schemas.microsoft.com/office/drawing/2014/chart" uri="{C3380CC4-5D6E-409C-BE32-E72D297353CC}">
                  <c16:uniqueId val="{00000007-EABF-45BB-8FBD-2AA90873754F}"/>
                </c:ext>
              </c:extLst>
            </c:dLbl>
            <c:dLbl>
              <c:idx val="4"/>
              <c:layout>
                <c:manualLayout>
                  <c:x val="7.8370107402079309E-2"/>
                  <c:y val="0.17357430278081887"/>
                </c:manualLayout>
              </c:layout>
              <c:showLegendKey val="0"/>
              <c:showVal val="1"/>
              <c:showCatName val="0"/>
              <c:showSerName val="0"/>
              <c:showPercent val="0"/>
              <c:showBubbleSize val="0"/>
              <c:extLst>
                <c:ext xmlns:c15="http://schemas.microsoft.com/office/drawing/2012/chart" uri="{CE6537A1-D6FC-4f65-9D91-7224C49458BB}">
                  <c15:layout>
                    <c:manualLayout>
                      <c:w val="9.3316773407671E-2"/>
                      <c:h val="8.3742904229994503E-2"/>
                    </c:manualLayout>
                  </c15:layout>
                </c:ext>
                <c:ext xmlns:c16="http://schemas.microsoft.com/office/drawing/2014/chart" uri="{C3380CC4-5D6E-409C-BE32-E72D297353CC}">
                  <c16:uniqueId val="{00000009-EABF-45BB-8FBD-2AA90873754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'Survey Dashboard'!$A$81:$A$82</c:f>
              <c:strCache>
                <c:ptCount val="2"/>
                <c:pt idx="0">
                  <c:v>Negative</c:v>
                </c:pt>
                <c:pt idx="1">
                  <c:v>Positive</c:v>
                </c:pt>
              </c:strCache>
            </c:strRef>
          </c:cat>
          <c:val>
            <c:numRef>
              <c:f>'Survey Dashboard'!$B$81:$B$82</c:f>
              <c:numCache>
                <c:formatCode>0%</c:formatCode>
                <c:ptCount val="2"/>
                <c:pt idx="0">
                  <c:v>0.13101160862354891</c:v>
                </c:pt>
                <c:pt idx="1">
                  <c:v>0.86898839137645112</c:v>
                </c:pt>
              </c:numCache>
            </c:numRef>
          </c:val>
          <c:extLst>
            <c:ext xmlns:c16="http://schemas.microsoft.com/office/drawing/2014/chart" uri="{C3380CC4-5D6E-409C-BE32-E72D297353CC}">
              <c16:uniqueId val="{0000000A-EABF-45BB-8FBD-2AA90873754F}"/>
            </c:ext>
          </c:extLst>
        </c:ser>
        <c:dLbls>
          <c:showLegendKey val="0"/>
          <c:showVal val="0"/>
          <c:showCatName val="0"/>
          <c:showSerName val="0"/>
          <c:showPercent val="0"/>
          <c:showBubbleSize val="0"/>
          <c:showLeaderLines val="1"/>
        </c:dLbls>
        <c:firstSliceAng val="43"/>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266700</xdr:colOff>
      <xdr:row>1</xdr:row>
      <xdr:rowOff>133350</xdr:rowOff>
    </xdr:from>
    <xdr:to>
      <xdr:col>24</xdr:col>
      <xdr:colOff>124641</xdr:colOff>
      <xdr:row>51</xdr:row>
      <xdr:rowOff>10680</xdr:rowOff>
    </xdr:to>
    <xdr:sp macro="" textlink="">
      <xdr:nvSpPr>
        <xdr:cNvPr id="2" name="Rectangle 1">
          <a:extLst>
            <a:ext uri="{FF2B5EF4-FFF2-40B4-BE49-F238E27FC236}">
              <a16:creationId xmlns:a16="http://schemas.microsoft.com/office/drawing/2014/main" id="{446AD402-BEFD-4DCA-A31E-32C844383A5E}"/>
            </a:ext>
          </a:extLst>
        </xdr:cNvPr>
        <xdr:cNvSpPr/>
      </xdr:nvSpPr>
      <xdr:spPr>
        <a:xfrm>
          <a:off x="6432550" y="317500"/>
          <a:ext cx="11440341" cy="90848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293482</xdr:colOff>
      <xdr:row>8</xdr:row>
      <xdr:rowOff>110278</xdr:rowOff>
    </xdr:from>
    <xdr:to>
      <xdr:col>11</xdr:col>
      <xdr:colOff>418092</xdr:colOff>
      <xdr:row>22</xdr:row>
      <xdr:rowOff>10227</xdr:rowOff>
    </xdr:to>
    <xdr:graphicFrame macro="">
      <xdr:nvGraphicFramePr>
        <xdr:cNvPr id="3" name="Chart 2">
          <a:extLst>
            <a:ext uri="{FF2B5EF4-FFF2-40B4-BE49-F238E27FC236}">
              <a16:creationId xmlns:a16="http://schemas.microsoft.com/office/drawing/2014/main" id="{96DCD974-CAA2-44F5-9B22-7BDECA2B6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582695</xdr:colOff>
      <xdr:row>8</xdr:row>
      <xdr:rowOff>101435</xdr:rowOff>
    </xdr:from>
    <xdr:to>
      <xdr:col>24</xdr:col>
      <xdr:colOff>94022</xdr:colOff>
      <xdr:row>22</xdr:row>
      <xdr:rowOff>1980</xdr:rowOff>
    </xdr:to>
    <xdr:graphicFrame macro="">
      <xdr:nvGraphicFramePr>
        <xdr:cNvPr id="4" name="Chart 3">
          <a:extLst>
            <a:ext uri="{FF2B5EF4-FFF2-40B4-BE49-F238E27FC236}">
              <a16:creationId xmlns:a16="http://schemas.microsoft.com/office/drawing/2014/main" id="{60640AFD-CE5B-444A-B9F3-DCACF1679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303738</xdr:colOff>
      <xdr:row>22</xdr:row>
      <xdr:rowOff>57492</xdr:rowOff>
    </xdr:from>
    <xdr:to>
      <xdr:col>11</xdr:col>
      <xdr:colOff>417081</xdr:colOff>
      <xdr:row>36</xdr:row>
      <xdr:rowOff>23613</xdr:rowOff>
    </xdr:to>
    <xdr:graphicFrame macro="">
      <xdr:nvGraphicFramePr>
        <xdr:cNvPr id="5" name="Chart 4">
          <a:extLst>
            <a:ext uri="{FF2B5EF4-FFF2-40B4-BE49-F238E27FC236}">
              <a16:creationId xmlns:a16="http://schemas.microsoft.com/office/drawing/2014/main" id="{437C397A-CBE3-4829-9FFB-BF275DE54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458082</xdr:colOff>
      <xdr:row>22</xdr:row>
      <xdr:rowOff>41171</xdr:rowOff>
    </xdr:from>
    <xdr:to>
      <xdr:col>17</xdr:col>
      <xdr:colOff>569641</xdr:colOff>
      <xdr:row>36</xdr:row>
      <xdr:rowOff>23612</xdr:rowOff>
    </xdr:to>
    <xdr:graphicFrame macro="">
      <xdr:nvGraphicFramePr>
        <xdr:cNvPr id="6" name="Chart 5">
          <a:extLst>
            <a:ext uri="{FF2B5EF4-FFF2-40B4-BE49-F238E27FC236}">
              <a16:creationId xmlns:a16="http://schemas.microsoft.com/office/drawing/2014/main" id="{3BBAEC5B-650B-487B-8AF3-11BC855AF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603953</xdr:colOff>
      <xdr:row>22</xdr:row>
      <xdr:rowOff>20518</xdr:rowOff>
    </xdr:from>
    <xdr:to>
      <xdr:col>24</xdr:col>
      <xdr:colOff>83407</xdr:colOff>
      <xdr:row>36</xdr:row>
      <xdr:rowOff>9479</xdr:rowOff>
    </xdr:to>
    <xdr:graphicFrame macro="">
      <xdr:nvGraphicFramePr>
        <xdr:cNvPr id="7" name="Chart 6">
          <a:extLst>
            <a:ext uri="{FF2B5EF4-FFF2-40B4-BE49-F238E27FC236}">
              <a16:creationId xmlns:a16="http://schemas.microsoft.com/office/drawing/2014/main" id="{182C7604-10C5-458E-A9A2-266773645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295801</xdr:colOff>
      <xdr:row>36</xdr:row>
      <xdr:rowOff>70971</xdr:rowOff>
    </xdr:from>
    <xdr:to>
      <xdr:col>11</xdr:col>
      <xdr:colOff>401706</xdr:colOff>
      <xdr:row>50</xdr:row>
      <xdr:rowOff>120167</xdr:rowOff>
    </xdr:to>
    <xdr:graphicFrame macro="">
      <xdr:nvGraphicFramePr>
        <xdr:cNvPr id="8" name="Chart 7">
          <a:extLst>
            <a:ext uri="{FF2B5EF4-FFF2-40B4-BE49-F238E27FC236}">
              <a16:creationId xmlns:a16="http://schemas.microsoft.com/office/drawing/2014/main" id="{9057C062-6CC8-4CFC-942C-9A90936C3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462797</xdr:colOff>
      <xdr:row>36</xdr:row>
      <xdr:rowOff>79952</xdr:rowOff>
    </xdr:from>
    <xdr:to>
      <xdr:col>17</xdr:col>
      <xdr:colOff>548900</xdr:colOff>
      <xdr:row>50</xdr:row>
      <xdr:rowOff>139915</xdr:rowOff>
    </xdr:to>
    <xdr:graphicFrame macro="">
      <xdr:nvGraphicFramePr>
        <xdr:cNvPr id="9" name="Chart 8">
          <a:extLst>
            <a:ext uri="{FF2B5EF4-FFF2-40B4-BE49-F238E27FC236}">
              <a16:creationId xmlns:a16="http://schemas.microsoft.com/office/drawing/2014/main" id="{810D6E28-4BDF-4BC0-AA47-7BC8A26ED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443001</xdr:colOff>
      <xdr:row>8</xdr:row>
      <xdr:rowOff>104753</xdr:rowOff>
    </xdr:from>
    <xdr:to>
      <xdr:col>17</xdr:col>
      <xdr:colOff>556402</xdr:colOff>
      <xdr:row>22</xdr:row>
      <xdr:rowOff>11279</xdr:rowOff>
    </xdr:to>
    <xdr:graphicFrame macro="">
      <xdr:nvGraphicFramePr>
        <xdr:cNvPr id="10" name="Chart 9">
          <a:extLst>
            <a:ext uri="{FF2B5EF4-FFF2-40B4-BE49-F238E27FC236}">
              <a16:creationId xmlns:a16="http://schemas.microsoft.com/office/drawing/2014/main" id="{DAC92ABC-F5A7-4B84-A3F5-4155FC591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592897</xdr:colOff>
      <xdr:row>36</xdr:row>
      <xdr:rowOff>67873</xdr:rowOff>
    </xdr:from>
    <xdr:to>
      <xdr:col>24</xdr:col>
      <xdr:colOff>83952</xdr:colOff>
      <xdr:row>50</xdr:row>
      <xdr:rowOff>160794</xdr:rowOff>
    </xdr:to>
    <xdr:graphicFrame macro="">
      <xdr:nvGraphicFramePr>
        <xdr:cNvPr id="11" name="Chart 10">
          <a:extLst>
            <a:ext uri="{FF2B5EF4-FFF2-40B4-BE49-F238E27FC236}">
              <a16:creationId xmlns:a16="http://schemas.microsoft.com/office/drawing/2014/main" id="{9929A69F-EF58-4C20-BF2E-9E64F6B36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494349</xdr:colOff>
      <xdr:row>4</xdr:row>
      <xdr:rowOff>152941</xdr:rowOff>
    </xdr:from>
    <xdr:to>
      <xdr:col>17</xdr:col>
      <xdr:colOff>530617</xdr:colOff>
      <xdr:row>8</xdr:row>
      <xdr:rowOff>70617</xdr:rowOff>
    </xdr:to>
    <xdr:sp macro="" textlink="">
      <xdr:nvSpPr>
        <xdr:cNvPr id="12" name="TextBox 11">
          <a:extLst>
            <a:ext uri="{FF2B5EF4-FFF2-40B4-BE49-F238E27FC236}">
              <a16:creationId xmlns:a16="http://schemas.microsoft.com/office/drawing/2014/main" id="{E4F5ACD6-71FE-4A40-B30C-FB9D5F2A65A8}"/>
            </a:ext>
          </a:extLst>
        </xdr:cNvPr>
        <xdr:cNvSpPr txBox="1"/>
      </xdr:nvSpPr>
      <xdr:spPr>
        <a:xfrm>
          <a:off x="12756199" y="889541"/>
          <a:ext cx="1255468" cy="654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Response rate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84</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2%</a:t>
          </a:r>
        </a:p>
      </xdr:txBody>
    </xdr:sp>
    <xdr:clientData/>
  </xdr:twoCellAnchor>
  <xdr:twoCellAnchor>
    <xdr:from>
      <xdr:col>22</xdr:col>
      <xdr:colOff>45616</xdr:colOff>
      <xdr:row>4</xdr:row>
      <xdr:rowOff>153703</xdr:rowOff>
    </xdr:from>
    <xdr:to>
      <xdr:col>24</xdr:col>
      <xdr:colOff>69589</xdr:colOff>
      <xdr:row>8</xdr:row>
      <xdr:rowOff>65029</xdr:rowOff>
    </xdr:to>
    <xdr:sp macro="" textlink="">
      <xdr:nvSpPr>
        <xdr:cNvPr id="13" name="TextBox 12">
          <a:extLst>
            <a:ext uri="{FF2B5EF4-FFF2-40B4-BE49-F238E27FC236}">
              <a16:creationId xmlns:a16="http://schemas.microsoft.com/office/drawing/2014/main" id="{34128185-7477-43C6-A0BE-931551D552A2}"/>
            </a:ext>
          </a:extLst>
        </xdr:cNvPr>
        <xdr:cNvSpPr txBox="1"/>
      </xdr:nvSpPr>
      <xdr:spPr>
        <a:xfrm>
          <a:off x="16574666" y="890303"/>
          <a:ext cx="1243173" cy="647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latin typeface="Times New Roman" panose="02020603050405020304" pitchFamily="18" charset="0"/>
              <a:cs typeface="Times New Roman" panose="02020603050405020304" pitchFamily="18" charset="0"/>
            </a:rPr>
            <a:t>Total</a:t>
          </a:r>
          <a:r>
            <a:rPr lang="en-GB" sz="1000" b="1" baseline="0">
              <a:latin typeface="Times New Roman" panose="02020603050405020304" pitchFamily="18" charset="0"/>
              <a:cs typeface="Times New Roman" panose="02020603050405020304" pitchFamily="18" charset="0"/>
            </a:rPr>
            <a:t> Reach</a:t>
          </a:r>
          <a:endParaRPr lang="en-GB" sz="1000" b="1">
            <a:latin typeface="Times New Roman" panose="02020603050405020304" pitchFamily="18" charset="0"/>
            <a:cs typeface="Times New Roman" panose="02020603050405020304" pitchFamily="18" charset="0"/>
          </a:endParaRPr>
        </a:p>
        <a:p>
          <a:pPr marL="0" indent="0" algn="ctr"/>
          <a:r>
            <a:rPr lang="en-GB" sz="1600" b="1">
              <a:solidFill>
                <a:schemeClr val="dk1"/>
              </a:solidFill>
              <a:latin typeface="Times New Roman" panose="02020603050405020304" pitchFamily="18" charset="0"/>
              <a:ea typeface="+mn-ea"/>
              <a:cs typeface="Times New Roman" panose="02020603050405020304" pitchFamily="18" charset="0"/>
            </a:rPr>
            <a:t>192</a:t>
          </a:r>
        </a:p>
        <a:p>
          <a:pPr marL="0" indent="0" algn="ctr"/>
          <a:r>
            <a:rPr lang="en-GB" sz="1050" b="1">
              <a:solidFill>
                <a:srgbClr val="FF0000"/>
              </a:solidFill>
              <a:latin typeface="Times New Roman" panose="02020603050405020304" pitchFamily="18" charset="0"/>
              <a:ea typeface="+mn-ea"/>
              <a:cs typeface="Times New Roman" panose="02020603050405020304" pitchFamily="18" charset="0"/>
            </a:rPr>
            <a:t>3%</a:t>
          </a:r>
        </a:p>
      </xdr:txBody>
    </xdr:sp>
    <xdr:clientData/>
  </xdr:twoCellAnchor>
  <xdr:twoCellAnchor>
    <xdr:from>
      <xdr:col>19</xdr:col>
      <xdr:colOff>587512</xdr:colOff>
      <xdr:row>4</xdr:row>
      <xdr:rowOff>154529</xdr:rowOff>
    </xdr:from>
    <xdr:to>
      <xdr:col>22</xdr:col>
      <xdr:colOff>1</xdr:colOff>
      <xdr:row>8</xdr:row>
      <xdr:rowOff>60892</xdr:rowOff>
    </xdr:to>
    <xdr:sp macro="" textlink="">
      <xdr:nvSpPr>
        <xdr:cNvPr id="14" name="TextBox 13">
          <a:extLst>
            <a:ext uri="{FF2B5EF4-FFF2-40B4-BE49-F238E27FC236}">
              <a16:creationId xmlns:a16="http://schemas.microsoft.com/office/drawing/2014/main" id="{A8645500-77C9-4DF1-B89F-E3145A143431}"/>
            </a:ext>
          </a:extLst>
        </xdr:cNvPr>
        <xdr:cNvSpPr txBox="1"/>
      </xdr:nvSpPr>
      <xdr:spPr>
        <a:xfrm>
          <a:off x="15287762" y="891129"/>
          <a:ext cx="1241289" cy="6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latin typeface="Times New Roman" panose="02020603050405020304" pitchFamily="18" charset="0"/>
              <a:cs typeface="Times New Roman" panose="02020603050405020304" pitchFamily="18" charset="0"/>
            </a:rPr>
            <a:t>Total</a:t>
          </a:r>
          <a:r>
            <a:rPr lang="en-GB" sz="1000" b="1" baseline="0">
              <a:latin typeface="Times New Roman" panose="02020603050405020304" pitchFamily="18" charset="0"/>
              <a:cs typeface="Times New Roman" panose="02020603050405020304" pitchFamily="18" charset="0"/>
            </a:rPr>
            <a:t> Clients</a:t>
          </a:r>
          <a:endParaRPr lang="en-GB" sz="1000" b="1">
            <a:latin typeface="Times New Roman" panose="02020603050405020304" pitchFamily="18" charset="0"/>
            <a:cs typeface="Times New Roman" panose="02020603050405020304" pitchFamily="18" charset="0"/>
          </a:endParaRPr>
        </a:p>
        <a:p>
          <a:pPr marL="0" indent="0" algn="ctr"/>
          <a:r>
            <a:rPr lang="en-GB" sz="1600" b="1">
              <a:solidFill>
                <a:schemeClr val="dk1"/>
              </a:solidFill>
              <a:latin typeface="Times New Roman" panose="02020603050405020304" pitchFamily="18" charset="0"/>
              <a:ea typeface="+mn-ea"/>
              <a:cs typeface="Times New Roman" panose="02020603050405020304" pitchFamily="18" charset="0"/>
            </a:rPr>
            <a:t>6,054</a:t>
          </a:r>
        </a:p>
      </xdr:txBody>
    </xdr:sp>
    <xdr:clientData/>
  </xdr:twoCellAnchor>
  <xdr:twoCellAnchor>
    <xdr:from>
      <xdr:col>5</xdr:col>
      <xdr:colOff>310028</xdr:colOff>
      <xdr:row>1</xdr:row>
      <xdr:rowOff>174585</xdr:rowOff>
    </xdr:from>
    <xdr:to>
      <xdr:col>24</xdr:col>
      <xdr:colOff>75159</xdr:colOff>
      <xdr:row>4</xdr:row>
      <xdr:rowOff>133433</xdr:rowOff>
    </xdr:to>
    <xdr:sp macro="" textlink="">
      <xdr:nvSpPr>
        <xdr:cNvPr id="15" name="TextBox 14">
          <a:extLst>
            <a:ext uri="{FF2B5EF4-FFF2-40B4-BE49-F238E27FC236}">
              <a16:creationId xmlns:a16="http://schemas.microsoft.com/office/drawing/2014/main" id="{6C0A22E4-6E54-4289-B742-7868D2D660D1}"/>
            </a:ext>
          </a:extLst>
        </xdr:cNvPr>
        <xdr:cNvSpPr txBox="1"/>
      </xdr:nvSpPr>
      <xdr:spPr>
        <a:xfrm>
          <a:off x="6475878" y="358735"/>
          <a:ext cx="11347531" cy="511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CLIENTS SURVEY ANALYSIS DASHBOARD </a:t>
          </a:r>
          <a:endParaRPr lang="en-GB" sz="2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365875</xdr:colOff>
      <xdr:row>4</xdr:row>
      <xdr:rowOff>176448</xdr:rowOff>
    </xdr:from>
    <xdr:to>
      <xdr:col>9</xdr:col>
      <xdr:colOff>356648</xdr:colOff>
      <xdr:row>8</xdr:row>
      <xdr:rowOff>94124</xdr:rowOff>
    </xdr:to>
    <xdr:sp macro="" textlink="">
      <xdr:nvSpPr>
        <xdr:cNvPr id="16" name="TextBox 15">
          <a:extLst>
            <a:ext uri="{FF2B5EF4-FFF2-40B4-BE49-F238E27FC236}">
              <a16:creationId xmlns:a16="http://schemas.microsoft.com/office/drawing/2014/main" id="{8D4C18BE-2CDD-485B-9041-95BA1888860C}"/>
            </a:ext>
          </a:extLst>
        </xdr:cNvPr>
        <xdr:cNvSpPr txBox="1"/>
      </xdr:nvSpPr>
      <xdr:spPr>
        <a:xfrm>
          <a:off x="7750925" y="913048"/>
          <a:ext cx="1209973" cy="654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latin typeface="Times New Roman" panose="02020603050405020304" pitchFamily="18" charset="0"/>
              <a:cs typeface="Times New Roman" panose="02020603050405020304" pitchFamily="18" charset="0"/>
            </a:rPr>
            <a:t>Total Recepient</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a:ln>
                <a:noFill/>
              </a:ln>
              <a:solidFill>
                <a:prstClr val="black"/>
              </a:solidFill>
              <a:effectLst/>
              <a:uLnTx/>
              <a:uFillTx/>
              <a:latin typeface="Times New Roman" panose="02020603050405020304" pitchFamily="18" charset="0"/>
              <a:ea typeface="+mn-ea"/>
              <a:cs typeface="Times New Roman" panose="02020603050405020304" pitchFamily="18" charset="0"/>
            </a:rPr>
            <a:t>3,356</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a:ln>
                <a:noFill/>
              </a:ln>
              <a:solidFill>
                <a:srgbClr val="00B050"/>
              </a:solidFill>
              <a:effectLst/>
              <a:uLnTx/>
              <a:uFillTx/>
              <a:latin typeface="Times New Roman" panose="02020603050405020304" pitchFamily="18" charset="0"/>
              <a:ea typeface="+mn-ea"/>
              <a:cs typeface="Times New Roman" panose="02020603050405020304" pitchFamily="18" charset="0"/>
            </a:rPr>
            <a:t>99.6%</a:t>
          </a:r>
        </a:p>
      </xdr:txBody>
    </xdr:sp>
    <xdr:clientData/>
  </xdr:twoCellAnchor>
  <xdr:twoCellAnchor>
    <xdr:from>
      <xdr:col>11</xdr:col>
      <xdr:colOff>443630</xdr:colOff>
      <xdr:row>4</xdr:row>
      <xdr:rowOff>163575</xdr:rowOff>
    </xdr:from>
    <xdr:to>
      <xdr:col>13</xdr:col>
      <xdr:colOff>452678</xdr:colOff>
      <xdr:row>8</xdr:row>
      <xdr:rowOff>81251</xdr:rowOff>
    </xdr:to>
    <xdr:sp macro="" textlink="">
      <xdr:nvSpPr>
        <xdr:cNvPr id="17" name="TextBox 16">
          <a:extLst>
            <a:ext uri="{FF2B5EF4-FFF2-40B4-BE49-F238E27FC236}">
              <a16:creationId xmlns:a16="http://schemas.microsoft.com/office/drawing/2014/main" id="{C86CE477-DF91-4C57-BE20-3861FC037B0D}"/>
            </a:ext>
          </a:extLst>
        </xdr:cNvPr>
        <xdr:cNvSpPr txBox="1"/>
      </xdr:nvSpPr>
      <xdr:spPr>
        <a:xfrm>
          <a:off x="10267080" y="900175"/>
          <a:ext cx="1228248" cy="654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latin typeface="Times New Roman" panose="02020603050405020304" pitchFamily="18" charset="0"/>
              <a:cs typeface="Times New Roman" panose="02020603050405020304" pitchFamily="18" charset="0"/>
            </a:rPr>
            <a:t>Open rate</a:t>
          </a:r>
        </a:p>
        <a:p>
          <a:pPr algn="ctr"/>
          <a:r>
            <a:rPr lang="en-GB" sz="1600" b="1">
              <a:latin typeface="Times New Roman" panose="02020603050405020304" pitchFamily="18" charset="0"/>
              <a:cs typeface="Times New Roman" panose="02020603050405020304" pitchFamily="18" charset="0"/>
            </a:rPr>
            <a:t>208</a:t>
          </a:r>
        </a:p>
        <a:p>
          <a:pPr algn="ctr"/>
          <a:r>
            <a:rPr lang="en-GB" sz="1050" b="1">
              <a:solidFill>
                <a:srgbClr val="FF0000"/>
              </a:solidFill>
              <a:latin typeface="Times New Roman" panose="02020603050405020304" pitchFamily="18" charset="0"/>
              <a:cs typeface="Times New Roman" panose="02020603050405020304" pitchFamily="18" charset="0"/>
            </a:rPr>
            <a:t>6.2%</a:t>
          </a:r>
        </a:p>
      </xdr:txBody>
    </xdr:sp>
    <xdr:clientData/>
  </xdr:twoCellAnchor>
  <xdr:twoCellAnchor>
    <xdr:from>
      <xdr:col>13</xdr:col>
      <xdr:colOff>479302</xdr:colOff>
      <xdr:row>4</xdr:row>
      <xdr:rowOff>150701</xdr:rowOff>
    </xdr:from>
    <xdr:to>
      <xdr:col>15</xdr:col>
      <xdr:colOff>469726</xdr:colOff>
      <xdr:row>8</xdr:row>
      <xdr:rowOff>68377</xdr:rowOff>
    </xdr:to>
    <xdr:sp macro="" textlink="">
      <xdr:nvSpPr>
        <xdr:cNvPr id="18" name="TextBox 17">
          <a:extLst>
            <a:ext uri="{FF2B5EF4-FFF2-40B4-BE49-F238E27FC236}">
              <a16:creationId xmlns:a16="http://schemas.microsoft.com/office/drawing/2014/main" id="{9B8A672B-5AB0-4C81-BDD8-4928FC1CAA52}"/>
            </a:ext>
          </a:extLst>
        </xdr:cNvPr>
        <xdr:cNvSpPr txBox="1"/>
      </xdr:nvSpPr>
      <xdr:spPr>
        <a:xfrm>
          <a:off x="11521952" y="887301"/>
          <a:ext cx="1209624" cy="654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Click rate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12</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0.36%</a:t>
          </a:r>
        </a:p>
      </xdr:txBody>
    </xdr:sp>
    <xdr:clientData/>
  </xdr:twoCellAnchor>
  <xdr:twoCellAnchor>
    <xdr:from>
      <xdr:col>5</xdr:col>
      <xdr:colOff>321849</xdr:colOff>
      <xdr:row>4</xdr:row>
      <xdr:rowOff>163573</xdr:rowOff>
    </xdr:from>
    <xdr:to>
      <xdr:col>7</xdr:col>
      <xdr:colOff>330899</xdr:colOff>
      <xdr:row>8</xdr:row>
      <xdr:rowOff>81249</xdr:rowOff>
    </xdr:to>
    <xdr:sp macro="" textlink="">
      <xdr:nvSpPr>
        <xdr:cNvPr id="19" name="TextBox 18">
          <a:extLst>
            <a:ext uri="{FF2B5EF4-FFF2-40B4-BE49-F238E27FC236}">
              <a16:creationId xmlns:a16="http://schemas.microsoft.com/office/drawing/2014/main" id="{61167760-D8FB-4C7E-BC4C-50C5674383F3}"/>
            </a:ext>
          </a:extLst>
        </xdr:cNvPr>
        <xdr:cNvSpPr txBox="1"/>
      </xdr:nvSpPr>
      <xdr:spPr>
        <a:xfrm>
          <a:off x="6487699" y="900173"/>
          <a:ext cx="1228250" cy="6542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latin typeface="Times New Roman" panose="02020603050405020304" pitchFamily="18" charset="0"/>
              <a:cs typeface="Times New Roman" panose="02020603050405020304" pitchFamily="18" charset="0"/>
            </a:rPr>
            <a:t>Total</a:t>
          </a:r>
          <a:r>
            <a:rPr lang="en-GB" sz="1000" b="1" baseline="0">
              <a:latin typeface="Times New Roman" panose="02020603050405020304" pitchFamily="18" charset="0"/>
              <a:cs typeface="Times New Roman" panose="02020603050405020304" pitchFamily="18" charset="0"/>
            </a:rPr>
            <a:t> Email Sent</a:t>
          </a:r>
          <a:endParaRPr lang="en-GB" sz="1000" b="1">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a:ln>
                <a:noFill/>
              </a:ln>
              <a:solidFill>
                <a:prstClr val="black"/>
              </a:solidFill>
              <a:effectLst/>
              <a:uLnTx/>
              <a:uFillTx/>
              <a:latin typeface="Times New Roman" panose="02020603050405020304" pitchFamily="18" charset="0"/>
              <a:ea typeface="+mn-ea"/>
              <a:cs typeface="Times New Roman" panose="02020603050405020304" pitchFamily="18" charset="0"/>
            </a:rPr>
            <a:t>3,368</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a:ln>
                <a:noFill/>
              </a:ln>
              <a:solidFill>
                <a:srgbClr val="FF0000"/>
              </a:solidFill>
              <a:effectLst/>
              <a:uLnTx/>
              <a:uFillTx/>
              <a:latin typeface="Times New Roman" panose="02020603050405020304" pitchFamily="18" charset="0"/>
              <a:ea typeface="+mn-ea"/>
              <a:cs typeface="Times New Roman" panose="02020603050405020304" pitchFamily="18" charset="0"/>
            </a:rPr>
            <a:t>55%</a:t>
          </a:r>
        </a:p>
      </xdr:txBody>
    </xdr:sp>
    <xdr:clientData/>
  </xdr:twoCellAnchor>
  <xdr:twoCellAnchor>
    <xdr:from>
      <xdr:col>9</xdr:col>
      <xdr:colOff>389380</xdr:colOff>
      <xdr:row>4</xdr:row>
      <xdr:rowOff>175624</xdr:rowOff>
    </xdr:from>
    <xdr:to>
      <xdr:col>11</xdr:col>
      <xdr:colOff>417533</xdr:colOff>
      <xdr:row>8</xdr:row>
      <xdr:rowOff>86950</xdr:rowOff>
    </xdr:to>
    <xdr:sp macro="" textlink="">
      <xdr:nvSpPr>
        <xdr:cNvPr id="20" name="TextBox 19">
          <a:extLst>
            <a:ext uri="{FF2B5EF4-FFF2-40B4-BE49-F238E27FC236}">
              <a16:creationId xmlns:a16="http://schemas.microsoft.com/office/drawing/2014/main" id="{BF6B8733-183C-4DCE-B797-99F30E5B15BE}"/>
            </a:ext>
          </a:extLst>
        </xdr:cNvPr>
        <xdr:cNvSpPr txBox="1"/>
      </xdr:nvSpPr>
      <xdr:spPr>
        <a:xfrm>
          <a:off x="8993630" y="912224"/>
          <a:ext cx="1247353" cy="647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Bounce rate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12</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0.36%</a:t>
          </a:r>
        </a:p>
      </xdr:txBody>
    </xdr:sp>
    <xdr:clientData/>
  </xdr:twoCellAnchor>
  <xdr:twoCellAnchor>
    <xdr:from>
      <xdr:col>17</xdr:col>
      <xdr:colOff>565413</xdr:colOff>
      <xdr:row>4</xdr:row>
      <xdr:rowOff>145351</xdr:rowOff>
    </xdr:from>
    <xdr:to>
      <xdr:col>19</xdr:col>
      <xdr:colOff>548014</xdr:colOff>
      <xdr:row>8</xdr:row>
      <xdr:rowOff>56677</xdr:rowOff>
    </xdr:to>
    <xdr:sp macro="" textlink="">
      <xdr:nvSpPr>
        <xdr:cNvPr id="21" name="TextBox 20">
          <a:extLst>
            <a:ext uri="{FF2B5EF4-FFF2-40B4-BE49-F238E27FC236}">
              <a16:creationId xmlns:a16="http://schemas.microsoft.com/office/drawing/2014/main" id="{54BF59C1-E9B9-4F9D-AAFA-08DFE5F67750}"/>
            </a:ext>
          </a:extLst>
        </xdr:cNvPr>
        <xdr:cNvSpPr txBox="1"/>
      </xdr:nvSpPr>
      <xdr:spPr>
        <a:xfrm>
          <a:off x="14046463" y="881951"/>
          <a:ext cx="1201801" cy="647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latin typeface="Times New Roman" panose="02020603050405020304" pitchFamily="18" charset="0"/>
              <a:cs typeface="Times New Roman" panose="02020603050405020304" pitchFamily="18" charset="0"/>
            </a:rPr>
            <a:t>Unsubscribe Rate</a:t>
          </a:r>
        </a:p>
        <a:p>
          <a:pPr algn="ctr"/>
          <a:r>
            <a:rPr lang="en-GB" sz="2000" b="1">
              <a:latin typeface="Times New Roman" panose="02020603050405020304" pitchFamily="18" charset="0"/>
              <a:cs typeface="Times New Roman" panose="02020603050405020304" pitchFamily="18" charset="0"/>
            </a:rPr>
            <a:t>0.12%</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50800</xdr:colOff>
      <xdr:row>12</xdr:row>
      <xdr:rowOff>19051</xdr:rowOff>
    </xdr:from>
    <xdr:to>
      <xdr:col>2</xdr:col>
      <xdr:colOff>4402336</xdr:colOff>
      <xdr:row>16</xdr:row>
      <xdr:rowOff>171450</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C52AF256-4C2C-4D6A-86FA-3FEA936C6F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 y="2281239"/>
              <a:ext cx="6008489" cy="90646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4567436</xdr:colOff>
      <xdr:row>12</xdr:row>
      <xdr:rowOff>595</xdr:rowOff>
    </xdr:from>
    <xdr:to>
      <xdr:col>5</xdr:col>
      <xdr:colOff>76200</xdr:colOff>
      <xdr:row>16</xdr:row>
      <xdr:rowOff>158750</xdr:rowOff>
    </xdr:to>
    <mc:AlternateContent xmlns:mc="http://schemas.openxmlformats.org/markup-compatibility/2006">
      <mc:Choice xmlns:sle15="http://schemas.microsoft.com/office/drawing/2012/slicer" Requires="sle15">
        <xdr:graphicFrame macro="">
          <xdr:nvGraphicFramePr>
            <xdr:cNvPr id="3" name="Sentiment">
              <a:extLst>
                <a:ext uri="{FF2B5EF4-FFF2-40B4-BE49-F238E27FC236}">
                  <a16:creationId xmlns:a16="http://schemas.microsoft.com/office/drawing/2014/main" id="{54672F9E-E821-4626-9A7A-A53A6037FDF3}"/>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dr:sp macro="" textlink="">
          <xdr:nvSpPr>
            <xdr:cNvPr id="0" name=""/>
            <xdr:cNvSpPr>
              <a:spLocks noTextEdit="1"/>
            </xdr:cNvSpPr>
          </xdr:nvSpPr>
          <xdr:spPr>
            <a:xfrm>
              <a:off x="6224389" y="2262783"/>
              <a:ext cx="3714155" cy="91221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8237bcac3ecb5530/Documents/Data%20Analys-Mshel%20Homes/Management%20Report/MD/Client%20Sentiment%20Analysis%2030_04_26.xlsx" TargetMode="External"/><Relationship Id="rId1" Type="http://schemas.openxmlformats.org/officeDocument/2006/relationships/externalLinkPath" Target="Data%20Analys-Mshel%20Homes/Management%20Report/MD/Client%20Sentiment%20Analysis%2030_04_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ient"/>
      <sheetName val="Sheet2"/>
      <sheetName val="Client Review"/>
      <sheetName val="Survey Dashboard"/>
      <sheetName val="Sheet6"/>
      <sheetName val="Review Analysis"/>
      <sheetName val="Sentiment Dashboard"/>
      <sheetName val="Top Issues"/>
    </sheetNames>
    <sheetDataSet>
      <sheetData sheetId="0"/>
      <sheetData sheetId="1"/>
      <sheetData sheetId="2"/>
      <sheetData sheetId="3">
        <row r="3">
          <cell r="B3" t="str">
            <v>Purchase Reason</v>
          </cell>
        </row>
        <row r="4">
          <cell r="A4" t="str">
            <v>Personal residence</v>
          </cell>
          <cell r="B4">
            <v>39</v>
          </cell>
        </row>
        <row r="5">
          <cell r="A5" t="str">
            <v>Investment</v>
          </cell>
          <cell r="B5">
            <v>36</v>
          </cell>
        </row>
        <row r="6">
          <cell r="A6" t="str">
            <v>Land banking / future development</v>
          </cell>
          <cell r="B6">
            <v>8</v>
          </cell>
        </row>
        <row r="7">
          <cell r="A7" t="str">
            <v>Both investment and personal residence</v>
          </cell>
          <cell r="B7">
            <v>1</v>
          </cell>
        </row>
        <row r="10">
          <cell r="B10" t="str">
            <v>Top Factors</v>
          </cell>
        </row>
        <row r="11">
          <cell r="A11" t="str">
            <v>Brand reputation</v>
          </cell>
          <cell r="B11">
            <v>30</v>
          </cell>
        </row>
        <row r="12">
          <cell r="A12" t="str">
            <v>Location</v>
          </cell>
          <cell r="B12">
            <v>19</v>
          </cell>
        </row>
        <row r="13">
          <cell r="A13" t="str">
            <v>Sales rep recommendation</v>
          </cell>
          <cell r="B13">
            <v>11</v>
          </cell>
        </row>
        <row r="14">
          <cell r="A14" t="str">
            <v>Payment plan flexibility</v>
          </cell>
          <cell r="B14">
            <v>10</v>
          </cell>
        </row>
        <row r="15">
          <cell r="A15" t="str">
            <v>Infrastructure plans</v>
          </cell>
          <cell r="B15">
            <v>7</v>
          </cell>
        </row>
        <row r="16">
          <cell r="A16" t="str">
            <v>Price affordability</v>
          </cell>
          <cell r="B16">
            <v>7</v>
          </cell>
        </row>
        <row r="19">
          <cell r="B19" t="str">
            <v>Overall Satisfaction</v>
          </cell>
        </row>
        <row r="20">
          <cell r="A20" t="str">
            <v>Excellent</v>
          </cell>
          <cell r="B20">
            <v>40</v>
          </cell>
        </row>
        <row r="21">
          <cell r="A21" t="str">
            <v>Good</v>
          </cell>
          <cell r="B21">
            <v>17</v>
          </cell>
        </row>
        <row r="22">
          <cell r="A22" t="str">
            <v>Outstanding</v>
          </cell>
          <cell r="B22">
            <v>17</v>
          </cell>
        </row>
        <row r="23">
          <cell r="A23" t="str">
            <v>Average</v>
          </cell>
          <cell r="B23">
            <v>5</v>
          </cell>
        </row>
        <row r="24">
          <cell r="A24" t="str">
            <v>Poor</v>
          </cell>
          <cell r="B24">
            <v>5</v>
          </cell>
        </row>
        <row r="27">
          <cell r="B27" t="str">
            <v>Property Satisfaction</v>
          </cell>
        </row>
        <row r="28">
          <cell r="A28" t="str">
            <v>Satisfied</v>
          </cell>
          <cell r="B28">
            <v>44</v>
          </cell>
        </row>
        <row r="29">
          <cell r="A29" t="str">
            <v>Very Satisfied</v>
          </cell>
          <cell r="B29">
            <v>23</v>
          </cell>
        </row>
        <row r="30">
          <cell r="A30" t="str">
            <v>Dissatisfied</v>
          </cell>
          <cell r="B30">
            <v>12</v>
          </cell>
        </row>
        <row r="31">
          <cell r="A31" t="str">
            <v>Very Dissatisfied</v>
          </cell>
          <cell r="B31">
            <v>5</v>
          </cell>
        </row>
        <row r="34">
          <cell r="B34" t="str">
            <v>Sales Team Experience</v>
          </cell>
        </row>
        <row r="35">
          <cell r="A35" t="str">
            <v>Good</v>
          </cell>
          <cell r="B35">
            <v>34</v>
          </cell>
        </row>
        <row r="36">
          <cell r="A36" t="str">
            <v>Excellent</v>
          </cell>
          <cell r="B36">
            <v>32</v>
          </cell>
        </row>
        <row r="37">
          <cell r="A37" t="str">
            <v>Average</v>
          </cell>
          <cell r="B37">
            <v>14</v>
          </cell>
        </row>
        <row r="38">
          <cell r="A38" t="str">
            <v>Poor</v>
          </cell>
          <cell r="B38">
            <v>4</v>
          </cell>
        </row>
        <row r="41">
          <cell r="B41" t="str">
            <v>Information Clarity</v>
          </cell>
        </row>
        <row r="42">
          <cell r="A42" t="str">
            <v>Clear</v>
          </cell>
          <cell r="B42">
            <v>42</v>
          </cell>
        </row>
        <row r="43">
          <cell r="A43" t="str">
            <v>Very Clear</v>
          </cell>
          <cell r="B43">
            <v>30</v>
          </cell>
        </row>
        <row r="44">
          <cell r="A44" t="str">
            <v>Unclear</v>
          </cell>
          <cell r="B44">
            <v>6</v>
          </cell>
        </row>
        <row r="45">
          <cell r="A45" t="str">
            <v>Very Unclear</v>
          </cell>
          <cell r="B45">
            <v>6</v>
          </cell>
        </row>
        <row r="48">
          <cell r="B48" t="str">
            <v>Responsiveness</v>
          </cell>
        </row>
        <row r="49">
          <cell r="A49" t="str">
            <v>Responsive</v>
          </cell>
          <cell r="B49">
            <v>46</v>
          </cell>
        </row>
        <row r="50">
          <cell r="A50" t="str">
            <v>Very Responsive</v>
          </cell>
          <cell r="B50">
            <v>17</v>
          </cell>
        </row>
        <row r="51">
          <cell r="A51" t="str">
            <v>Neutral</v>
          </cell>
          <cell r="B51">
            <v>13</v>
          </cell>
        </row>
        <row r="52">
          <cell r="A52" t="str">
            <v>Slow</v>
          </cell>
          <cell r="B52">
            <v>5</v>
          </cell>
        </row>
        <row r="53">
          <cell r="A53" t="str">
            <v>Very Slow</v>
          </cell>
          <cell r="B53">
            <v>3</v>
          </cell>
        </row>
        <row r="56">
          <cell r="B56" t="str">
            <v>Improvement Stage</v>
          </cell>
        </row>
        <row r="57">
          <cell r="A57" t="str">
            <v>Post-purchase support</v>
          </cell>
          <cell r="B57">
            <v>44</v>
          </cell>
        </row>
        <row r="58">
          <cell r="A58" t="str">
            <v>Property inspection</v>
          </cell>
          <cell r="B58">
            <v>13</v>
          </cell>
        </row>
        <row r="59">
          <cell r="A59" t="str">
            <v>Documentation</v>
          </cell>
          <cell r="B59">
            <v>9</v>
          </cell>
        </row>
        <row r="60">
          <cell r="A60" t="str">
            <v>Initial inquiry response</v>
          </cell>
          <cell r="B60">
            <v>9</v>
          </cell>
        </row>
        <row r="61">
          <cell r="A61" t="str">
            <v>Payment process</v>
          </cell>
          <cell r="B61">
            <v>9</v>
          </cell>
        </row>
        <row r="81">
          <cell r="A81" t="str">
            <v>Negative</v>
          </cell>
          <cell r="B81">
            <v>0.13101160862354891</v>
          </cell>
        </row>
        <row r="82">
          <cell r="A82" t="str">
            <v>Positive</v>
          </cell>
          <cell r="B82">
            <v>0.86898839137645112</v>
          </cell>
        </row>
      </sheetData>
      <sheetData sheetId="4"/>
      <sheetData sheetId="5"/>
      <sheetData sheetId="6"/>
      <sheetData sheetId="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6D52BA-BA16-4A40-876D-19DF8BFE2614}" sourceName="Category">
  <extLst>
    <x:ext xmlns:x15="http://schemas.microsoft.com/office/spreadsheetml/2010/11/main" uri="{2F2917AC-EB37-4324-AD4E-5DD8C200BD13}">
      <x15:tableSlicerCache tableId="1"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74D9DAC3-CC98-47D8-A4CB-4815E3E476F7}" sourceName="Sentiment">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1E86EB-9703-4036-8452-9D88A02968C2}" cache="Slicer_Category" caption="Category" columnCount="5" rowHeight="241300"/>
  <slicer name="Sentiment" xr10:uid="{128162E8-5303-4252-BEBE-774CF5B893CA}" cache="Slicer_Sentiment" caption="Sentiment"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310E41-0471-43AF-BD16-900FABAB7C0A}" name="Table1" displayName="Table1" ref="A19:I122" totalsRowShown="0" headerRowDxfId="12" headerRowBorderDxfId="10" tableBorderDxfId="11" totalsRowBorderDxfId="9">
  <autoFilter ref="A19:I122" xr:uid="{316BB942-800D-4AAB-AF1E-65FD1FC4A1BD}">
    <filterColumn colId="5">
      <filters>
        <filter val="Infrastructure"/>
      </filters>
    </filterColumn>
  </autoFilter>
  <tableColumns count="9">
    <tableColumn id="1" xr3:uid="{0428EF13-CC5F-44D0-9154-1263AC4D9470}" name="Column1" dataDxfId="3"/>
    <tableColumn id="2" xr3:uid="{3D0812D6-4A22-43F2-864A-52789F780186}" name="Client Name" dataDxfId="2"/>
    <tableColumn id="3" xr3:uid="{32C34C7F-156B-4680-9E7E-A17FE248FA86}" name="Review" dataDxfId="0"/>
    <tableColumn id="4" xr3:uid="{79AD8402-62CA-42A5-B1FC-0B57235A1D91}" name="Sentiment" dataDxfId="1"/>
    <tableColumn id="5" xr3:uid="{8F254093-BA1E-4E46-BCB3-D9E598D0CDEB}" name="Sentiment Score" dataDxfId="8"/>
    <tableColumn id="6" xr3:uid="{FF39A054-A8D5-4B99-9359-14D02B2C6330}" name="Category" dataDxfId="7"/>
    <tableColumn id="7" xr3:uid="{DD677F54-D686-45B7-ADEC-C37B38A97DA2}" name="Key Issue" dataDxfId="6"/>
    <tableColumn id="8" xr3:uid="{4C448EC8-FD57-465D-808B-B0B835344CC4}" name="Actionable" dataDxfId="5"/>
    <tableColumn id="9" xr3:uid="{6515EB04-8CC5-4BC1-ACF8-2E4373C46568}" name="Intensit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8D5E-DDB4-419C-9610-0330E17D6974}">
  <dimension ref="A3:Z82"/>
  <sheetViews>
    <sheetView zoomScale="55" zoomScaleNormal="100" workbookViewId="0">
      <selection activeCell="Z16" sqref="Z16"/>
    </sheetView>
  </sheetViews>
  <sheetFormatPr defaultRowHeight="14.5" x14ac:dyDescent="0.35"/>
  <cols>
    <col min="1" max="1" width="34.81640625" style="2" bestFit="1" customWidth="1"/>
    <col min="2" max="2" width="31.7265625" style="2" bestFit="1" customWidth="1"/>
    <col min="3" max="3" width="4.26953125" style="2" bestFit="1" customWidth="1"/>
    <col min="4" max="5" width="8.7265625" style="2" customWidth="1"/>
    <col min="6" max="16384" width="8.7265625" style="2"/>
  </cols>
  <sheetData>
    <row r="3" spans="1:26" x14ac:dyDescent="0.35">
      <c r="A3" s="1" t="s">
        <v>0</v>
      </c>
      <c r="B3" s="1" t="s">
        <v>1</v>
      </c>
    </row>
    <row r="4" spans="1:26" x14ac:dyDescent="0.35">
      <c r="A4" s="1" t="s">
        <v>2</v>
      </c>
      <c r="B4" s="1">
        <v>39</v>
      </c>
      <c r="D4" s="3"/>
    </row>
    <row r="5" spans="1:26" x14ac:dyDescent="0.35">
      <c r="A5" s="1" t="s">
        <v>3</v>
      </c>
      <c r="B5" s="1">
        <v>36</v>
      </c>
    </row>
    <row r="6" spans="1:26" x14ac:dyDescent="0.35">
      <c r="A6" s="1" t="s">
        <v>4</v>
      </c>
      <c r="B6" s="1">
        <v>8</v>
      </c>
    </row>
    <row r="7" spans="1:26" x14ac:dyDescent="0.35">
      <c r="A7" s="1" t="s">
        <v>5</v>
      </c>
      <c r="B7" s="1">
        <v>1</v>
      </c>
      <c r="Z7" s="3"/>
    </row>
    <row r="8" spans="1:26" x14ac:dyDescent="0.35">
      <c r="E8" s="3"/>
    </row>
    <row r="10" spans="1:26" x14ac:dyDescent="0.35">
      <c r="A10" s="1" t="s">
        <v>0</v>
      </c>
      <c r="B10" s="1" t="s">
        <v>6</v>
      </c>
    </row>
    <row r="11" spans="1:26" x14ac:dyDescent="0.35">
      <c r="A11" s="1" t="s">
        <v>7</v>
      </c>
      <c r="B11" s="1">
        <v>30</v>
      </c>
      <c r="D11" s="4"/>
    </row>
    <row r="12" spans="1:26" x14ac:dyDescent="0.35">
      <c r="A12" s="1" t="s">
        <v>8</v>
      </c>
      <c r="B12" s="1">
        <v>19</v>
      </c>
    </row>
    <row r="13" spans="1:26" x14ac:dyDescent="0.35">
      <c r="A13" s="1" t="s">
        <v>9</v>
      </c>
      <c r="B13" s="1">
        <v>11</v>
      </c>
    </row>
    <row r="14" spans="1:26" x14ac:dyDescent="0.35">
      <c r="A14" s="1" t="s">
        <v>10</v>
      </c>
      <c r="B14" s="1">
        <v>10</v>
      </c>
    </row>
    <row r="15" spans="1:26" x14ac:dyDescent="0.35">
      <c r="A15" s="1" t="s">
        <v>11</v>
      </c>
      <c r="B15" s="1">
        <v>7</v>
      </c>
      <c r="D15" s="5"/>
    </row>
    <row r="16" spans="1:26" x14ac:dyDescent="0.35">
      <c r="A16" s="1" t="s">
        <v>12</v>
      </c>
      <c r="B16" s="1">
        <v>7</v>
      </c>
      <c r="D16" s="5"/>
    </row>
    <row r="19" spans="1:4" x14ac:dyDescent="0.35">
      <c r="A19" s="1" t="s">
        <v>0</v>
      </c>
      <c r="B19" s="1" t="s">
        <v>13</v>
      </c>
    </row>
    <row r="20" spans="1:4" x14ac:dyDescent="0.35">
      <c r="A20" s="1" t="s">
        <v>14</v>
      </c>
      <c r="B20" s="1">
        <v>40</v>
      </c>
    </row>
    <row r="21" spans="1:4" x14ac:dyDescent="0.35">
      <c r="A21" s="1" t="s">
        <v>15</v>
      </c>
      <c r="B21" s="1">
        <v>17</v>
      </c>
    </row>
    <row r="22" spans="1:4" x14ac:dyDescent="0.35">
      <c r="A22" s="1" t="s">
        <v>16</v>
      </c>
      <c r="B22" s="1">
        <v>17</v>
      </c>
    </row>
    <row r="23" spans="1:4" x14ac:dyDescent="0.35">
      <c r="A23" s="1" t="s">
        <v>17</v>
      </c>
      <c r="B23" s="1">
        <v>5</v>
      </c>
      <c r="D23" s="3"/>
    </row>
    <row r="24" spans="1:4" x14ac:dyDescent="0.35">
      <c r="A24" s="1" t="s">
        <v>18</v>
      </c>
      <c r="B24" s="1">
        <v>5</v>
      </c>
    </row>
    <row r="27" spans="1:4" x14ac:dyDescent="0.35">
      <c r="A27" s="1" t="s">
        <v>0</v>
      </c>
      <c r="B27" s="1" t="s">
        <v>19</v>
      </c>
    </row>
    <row r="28" spans="1:4" x14ac:dyDescent="0.35">
      <c r="A28" s="1" t="s">
        <v>20</v>
      </c>
      <c r="B28" s="1">
        <v>44</v>
      </c>
    </row>
    <row r="29" spans="1:4" x14ac:dyDescent="0.35">
      <c r="A29" s="1" t="s">
        <v>21</v>
      </c>
      <c r="B29" s="1">
        <v>23</v>
      </c>
    </row>
    <row r="30" spans="1:4" x14ac:dyDescent="0.35">
      <c r="A30" s="1" t="s">
        <v>22</v>
      </c>
      <c r="B30" s="1">
        <v>12</v>
      </c>
    </row>
    <row r="31" spans="1:4" x14ac:dyDescent="0.35">
      <c r="A31" s="1" t="s">
        <v>23</v>
      </c>
      <c r="B31" s="1">
        <v>5</v>
      </c>
    </row>
    <row r="34" spans="1:2" x14ac:dyDescent="0.35">
      <c r="A34" s="1" t="s">
        <v>0</v>
      </c>
      <c r="B34" s="1" t="s">
        <v>24</v>
      </c>
    </row>
    <row r="35" spans="1:2" x14ac:dyDescent="0.35">
      <c r="A35" s="1" t="s">
        <v>15</v>
      </c>
      <c r="B35" s="1">
        <v>34</v>
      </c>
    </row>
    <row r="36" spans="1:2" x14ac:dyDescent="0.35">
      <c r="A36" s="1" t="s">
        <v>14</v>
      </c>
      <c r="B36" s="1">
        <v>32</v>
      </c>
    </row>
    <row r="37" spans="1:2" x14ac:dyDescent="0.35">
      <c r="A37" s="1" t="s">
        <v>17</v>
      </c>
      <c r="B37" s="1">
        <v>14</v>
      </c>
    </row>
    <row r="38" spans="1:2" x14ac:dyDescent="0.35">
      <c r="A38" s="1" t="s">
        <v>18</v>
      </c>
      <c r="B38" s="1">
        <v>4</v>
      </c>
    </row>
    <row r="41" spans="1:2" x14ac:dyDescent="0.35">
      <c r="A41" s="1" t="s">
        <v>0</v>
      </c>
      <c r="B41" s="1" t="s">
        <v>25</v>
      </c>
    </row>
    <row r="42" spans="1:2" x14ac:dyDescent="0.35">
      <c r="A42" s="1" t="s">
        <v>26</v>
      </c>
      <c r="B42" s="1">
        <v>42</v>
      </c>
    </row>
    <row r="43" spans="1:2" x14ac:dyDescent="0.35">
      <c r="A43" s="1" t="s">
        <v>27</v>
      </c>
      <c r="B43" s="1">
        <v>30</v>
      </c>
    </row>
    <row r="44" spans="1:2" x14ac:dyDescent="0.35">
      <c r="A44" s="1" t="s">
        <v>28</v>
      </c>
      <c r="B44" s="1">
        <v>6</v>
      </c>
    </row>
    <row r="45" spans="1:2" x14ac:dyDescent="0.35">
      <c r="A45" s="1" t="s">
        <v>29</v>
      </c>
      <c r="B45" s="1">
        <v>6</v>
      </c>
    </row>
    <row r="48" spans="1:2" x14ac:dyDescent="0.35">
      <c r="A48" s="1" t="s">
        <v>0</v>
      </c>
      <c r="B48" s="1" t="s">
        <v>30</v>
      </c>
    </row>
    <row r="49" spans="1:2" x14ac:dyDescent="0.35">
      <c r="A49" s="1" t="s">
        <v>31</v>
      </c>
      <c r="B49" s="1">
        <v>46</v>
      </c>
    </row>
    <row r="50" spans="1:2" x14ac:dyDescent="0.35">
      <c r="A50" s="1" t="s">
        <v>32</v>
      </c>
      <c r="B50" s="1">
        <v>17</v>
      </c>
    </row>
    <row r="51" spans="1:2" x14ac:dyDescent="0.35">
      <c r="A51" s="1" t="s">
        <v>33</v>
      </c>
      <c r="B51" s="1">
        <v>13</v>
      </c>
    </row>
    <row r="52" spans="1:2" x14ac:dyDescent="0.35">
      <c r="A52" s="1" t="s">
        <v>34</v>
      </c>
      <c r="B52" s="1">
        <v>5</v>
      </c>
    </row>
    <row r="53" spans="1:2" x14ac:dyDescent="0.35">
      <c r="A53" s="1" t="s">
        <v>35</v>
      </c>
      <c r="B53" s="1">
        <v>3</v>
      </c>
    </row>
    <row r="56" spans="1:2" x14ac:dyDescent="0.35">
      <c r="A56" s="1" t="s">
        <v>0</v>
      </c>
      <c r="B56" s="1" t="s">
        <v>36</v>
      </c>
    </row>
    <row r="57" spans="1:2" x14ac:dyDescent="0.35">
      <c r="A57" s="1" t="s">
        <v>37</v>
      </c>
      <c r="B57" s="1">
        <v>44</v>
      </c>
    </row>
    <row r="58" spans="1:2" x14ac:dyDescent="0.35">
      <c r="A58" s="1" t="s">
        <v>38</v>
      </c>
      <c r="B58" s="1">
        <v>13</v>
      </c>
    </row>
    <row r="59" spans="1:2" x14ac:dyDescent="0.35">
      <c r="A59" s="1" t="s">
        <v>39</v>
      </c>
      <c r="B59" s="1">
        <v>9</v>
      </c>
    </row>
    <row r="60" spans="1:2" x14ac:dyDescent="0.35">
      <c r="A60" s="1" t="s">
        <v>40</v>
      </c>
      <c r="B60" s="1">
        <v>9</v>
      </c>
    </row>
    <row r="61" spans="1:2" x14ac:dyDescent="0.35">
      <c r="A61" s="1" t="s">
        <v>41</v>
      </c>
      <c r="B61" s="1">
        <v>9</v>
      </c>
    </row>
    <row r="64" spans="1:2" x14ac:dyDescent="0.35">
      <c r="A64" s="1" t="s">
        <v>0</v>
      </c>
      <c r="B64" s="1" t="s">
        <v>42</v>
      </c>
    </row>
    <row r="65" spans="1:4" x14ac:dyDescent="0.35">
      <c r="A65" s="1">
        <v>1</v>
      </c>
      <c r="B65" s="1">
        <v>4</v>
      </c>
    </row>
    <row r="66" spans="1:4" x14ac:dyDescent="0.35">
      <c r="A66" s="1">
        <v>2</v>
      </c>
      <c r="B66" s="1">
        <v>4</v>
      </c>
    </row>
    <row r="67" spans="1:4" x14ac:dyDescent="0.35">
      <c r="A67" s="1">
        <v>3</v>
      </c>
      <c r="B67" s="1">
        <v>15</v>
      </c>
    </row>
    <row r="68" spans="1:4" x14ac:dyDescent="0.35">
      <c r="A68" s="1">
        <v>4</v>
      </c>
      <c r="B68" s="1">
        <v>16</v>
      </c>
    </row>
    <row r="69" spans="1:4" x14ac:dyDescent="0.35">
      <c r="A69" s="1">
        <v>5</v>
      </c>
      <c r="B69" s="1">
        <v>40</v>
      </c>
    </row>
    <row r="70" spans="1:4" x14ac:dyDescent="0.35">
      <c r="A70" s="1">
        <v>6</v>
      </c>
      <c r="B70" s="1">
        <v>30</v>
      </c>
    </row>
    <row r="71" spans="1:4" x14ac:dyDescent="0.35">
      <c r="A71" s="1">
        <v>7</v>
      </c>
      <c r="B71" s="1">
        <v>77</v>
      </c>
    </row>
    <row r="72" spans="1:4" x14ac:dyDescent="0.35">
      <c r="A72" s="1">
        <v>8</v>
      </c>
      <c r="B72" s="1">
        <v>88</v>
      </c>
    </row>
    <row r="73" spans="1:4" x14ac:dyDescent="0.35">
      <c r="A73" s="1">
        <v>9</v>
      </c>
      <c r="B73" s="1">
        <v>99</v>
      </c>
    </row>
    <row r="74" spans="1:4" x14ac:dyDescent="0.35">
      <c r="A74" s="1">
        <v>10</v>
      </c>
      <c r="B74" s="1">
        <v>230</v>
      </c>
    </row>
    <row r="76" spans="1:4" x14ac:dyDescent="0.35">
      <c r="A76" s="2" t="s">
        <v>43</v>
      </c>
      <c r="B76" s="2">
        <f>SUM(B65:B69)</f>
        <v>79</v>
      </c>
      <c r="C76" s="3">
        <f>B76/B78</f>
        <v>0.13101160862354891</v>
      </c>
      <c r="D76" s="3"/>
    </row>
    <row r="77" spans="1:4" x14ac:dyDescent="0.35">
      <c r="A77" s="2" t="s">
        <v>44</v>
      </c>
      <c r="B77" s="2">
        <f>SUM(B70:B74)</f>
        <v>524</v>
      </c>
      <c r="C77" s="3">
        <f>B77/B78</f>
        <v>0.86898839137645112</v>
      </c>
      <c r="D77" s="3"/>
    </row>
    <row r="78" spans="1:4" x14ac:dyDescent="0.35">
      <c r="B78" s="2">
        <f>SUM(B76:B77)</f>
        <v>603</v>
      </c>
    </row>
    <row r="81" spans="1:2" x14ac:dyDescent="0.35">
      <c r="A81" s="1" t="s">
        <v>43</v>
      </c>
      <c r="B81" s="6">
        <v>0.13101160862354891</v>
      </c>
    </row>
    <row r="82" spans="1:2" x14ac:dyDescent="0.35">
      <c r="A82" s="1" t="s">
        <v>44</v>
      </c>
      <c r="B82" s="6">
        <v>0.86898839137645112</v>
      </c>
    </row>
  </sheetData>
  <autoFilter ref="A64:B74" xr:uid="{70679106-768B-4EBE-86CB-6D4DEC888802}">
    <sortState xmlns:xlrd2="http://schemas.microsoft.com/office/spreadsheetml/2017/richdata2" ref="A65:B74">
      <sortCondition ref="A64:A74"/>
    </sortState>
  </autoFilter>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1EE0-16F9-41A7-81BD-D46C62E98BED}">
  <dimension ref="A1:G20"/>
  <sheetViews>
    <sheetView workbookViewId="0">
      <selection activeCell="C18" sqref="C18"/>
    </sheetView>
  </sheetViews>
  <sheetFormatPr defaultRowHeight="14.5" x14ac:dyDescent="0.35"/>
  <cols>
    <col min="1" max="1" width="32.81640625" style="2" customWidth="1"/>
    <col min="2" max="2" width="19.26953125" style="2" customWidth="1"/>
    <col min="3" max="3" width="18.08984375" style="2" customWidth="1"/>
    <col min="4" max="5" width="13.7265625" style="2" customWidth="1"/>
    <col min="6" max="6" width="16" style="2" customWidth="1"/>
    <col min="7" max="7" width="15.08984375" style="2" customWidth="1"/>
    <col min="8" max="16384" width="8.7265625" style="2"/>
  </cols>
  <sheetData>
    <row r="1" spans="1:7" ht="17.5" x14ac:dyDescent="0.35">
      <c r="A1" s="7" t="s">
        <v>66</v>
      </c>
      <c r="B1" s="8"/>
      <c r="C1" s="8"/>
      <c r="D1" s="8"/>
      <c r="E1" s="8"/>
      <c r="F1" s="8"/>
      <c r="G1" s="8"/>
    </row>
    <row r="2" spans="1:7" ht="15" thickBot="1" x14ac:dyDescent="0.4">
      <c r="A2" s="9" t="s">
        <v>45</v>
      </c>
      <c r="B2" s="8"/>
      <c r="C2" s="8"/>
      <c r="D2" s="8"/>
      <c r="E2" s="8"/>
      <c r="F2" s="8"/>
      <c r="G2" s="8"/>
    </row>
    <row r="3" spans="1:7" x14ac:dyDescent="0.35">
      <c r="A3" s="10" t="s">
        <v>46</v>
      </c>
      <c r="B3" s="11" t="s">
        <v>47</v>
      </c>
      <c r="C3" s="12" t="s">
        <v>48</v>
      </c>
      <c r="D3" s="13" t="s">
        <v>49</v>
      </c>
      <c r="E3" s="14" t="s">
        <v>50</v>
      </c>
      <c r="F3" s="15" t="s">
        <v>51</v>
      </c>
      <c r="G3" s="16" t="s">
        <v>52</v>
      </c>
    </row>
    <row r="4" spans="1:7" ht="22.5" x14ac:dyDescent="0.45">
      <c r="A4" s="17">
        <v>84</v>
      </c>
      <c r="B4" s="18">
        <v>58</v>
      </c>
      <c r="C4" s="19">
        <v>26</v>
      </c>
      <c r="D4" s="20">
        <v>12</v>
      </c>
      <c r="E4" s="21">
        <v>22</v>
      </c>
      <c r="F4" s="22">
        <v>0.34799999999999998</v>
      </c>
      <c r="G4" s="23">
        <v>26</v>
      </c>
    </row>
    <row r="5" spans="1:7" x14ac:dyDescent="0.35">
      <c r="A5" s="24"/>
      <c r="B5" s="25" t="s">
        <v>53</v>
      </c>
      <c r="C5" s="26">
        <v>0.31</v>
      </c>
      <c r="D5" s="27">
        <v>0.14000000000000001</v>
      </c>
      <c r="E5" s="28">
        <v>0.26</v>
      </c>
      <c r="F5" s="29"/>
      <c r="G5" s="30"/>
    </row>
    <row r="6" spans="1:7" x14ac:dyDescent="0.35">
      <c r="A6" s="31" t="s">
        <v>54</v>
      </c>
      <c r="B6" s="32"/>
      <c r="C6" s="32"/>
      <c r="D6" s="32"/>
      <c r="E6" s="32"/>
      <c r="F6" s="32"/>
      <c r="G6" s="33"/>
    </row>
    <row r="7" spans="1:7" x14ac:dyDescent="0.35">
      <c r="A7" s="34" t="s">
        <v>55</v>
      </c>
      <c r="B7" s="34" t="s">
        <v>56</v>
      </c>
      <c r="C7" s="34" t="s">
        <v>44</v>
      </c>
      <c r="D7" s="34" t="s">
        <v>43</v>
      </c>
      <c r="E7" s="34" t="s">
        <v>57</v>
      </c>
      <c r="F7" s="34" t="s">
        <v>33</v>
      </c>
      <c r="G7" s="34" t="s">
        <v>51</v>
      </c>
    </row>
    <row r="8" spans="1:7" x14ac:dyDescent="0.35">
      <c r="A8" s="35" t="s">
        <v>58</v>
      </c>
      <c r="B8" s="35">
        <f>SUM(C8:F8)</f>
        <v>6</v>
      </c>
      <c r="C8" s="35">
        <v>2</v>
      </c>
      <c r="D8" s="35">
        <v>1</v>
      </c>
      <c r="E8" s="35">
        <v>3</v>
      </c>
      <c r="F8" s="35">
        <v>0</v>
      </c>
      <c r="G8" s="36">
        <f>AVERAGE(C8:F8)</f>
        <v>1.5</v>
      </c>
    </row>
    <row r="9" spans="1:7" x14ac:dyDescent="0.35">
      <c r="A9" s="35" t="s">
        <v>59</v>
      </c>
      <c r="B9" s="35">
        <f t="shared" ref="B9:B16" si="0">SUM(C9:F9)</f>
        <v>10</v>
      </c>
      <c r="C9" s="35">
        <v>3</v>
      </c>
      <c r="D9" s="35">
        <v>3</v>
      </c>
      <c r="E9" s="35">
        <v>4</v>
      </c>
      <c r="F9" s="35">
        <v>0</v>
      </c>
      <c r="G9" s="36">
        <f t="shared" ref="G9:G16" si="1">AVERAGE(C9:F9)</f>
        <v>2.5</v>
      </c>
    </row>
    <row r="10" spans="1:7" x14ac:dyDescent="0.35">
      <c r="A10" s="35" t="s">
        <v>60</v>
      </c>
      <c r="B10" s="35">
        <f t="shared" si="0"/>
        <v>1</v>
      </c>
      <c r="C10" s="35">
        <v>1</v>
      </c>
      <c r="D10" s="35">
        <v>0</v>
      </c>
      <c r="E10" s="35">
        <v>0</v>
      </c>
      <c r="F10" s="35">
        <v>0</v>
      </c>
      <c r="G10" s="36">
        <f t="shared" si="1"/>
        <v>0.25</v>
      </c>
    </row>
    <row r="11" spans="1:7" x14ac:dyDescent="0.35">
      <c r="A11" s="35" t="s">
        <v>61</v>
      </c>
      <c r="B11" s="35">
        <f t="shared" si="0"/>
        <v>15</v>
      </c>
      <c r="C11" s="35">
        <v>2</v>
      </c>
      <c r="D11" s="35">
        <v>10</v>
      </c>
      <c r="E11" s="35">
        <v>1</v>
      </c>
      <c r="F11" s="35">
        <v>2</v>
      </c>
      <c r="G11" s="36">
        <f t="shared" si="1"/>
        <v>3.75</v>
      </c>
    </row>
    <row r="12" spans="1:7" x14ac:dyDescent="0.35">
      <c r="A12" s="35" t="s">
        <v>39</v>
      </c>
      <c r="B12" s="35">
        <f t="shared" si="0"/>
        <v>7</v>
      </c>
      <c r="C12" s="35">
        <v>5</v>
      </c>
      <c r="D12" s="35">
        <v>0</v>
      </c>
      <c r="E12" s="35">
        <v>0</v>
      </c>
      <c r="F12" s="35">
        <v>2</v>
      </c>
      <c r="G12" s="36">
        <f t="shared" si="1"/>
        <v>1.75</v>
      </c>
    </row>
    <row r="13" spans="1:7" x14ac:dyDescent="0.35">
      <c r="A13" s="35" t="s">
        <v>62</v>
      </c>
      <c r="B13" s="35">
        <f t="shared" si="0"/>
        <v>1</v>
      </c>
      <c r="C13" s="35">
        <v>1</v>
      </c>
      <c r="D13" s="35">
        <v>0</v>
      </c>
      <c r="E13" s="35">
        <v>0</v>
      </c>
      <c r="F13" s="35">
        <v>0</v>
      </c>
      <c r="G13" s="36">
        <f t="shared" si="1"/>
        <v>0.25</v>
      </c>
    </row>
    <row r="14" spans="1:7" x14ac:dyDescent="0.35">
      <c r="A14" s="35" t="s">
        <v>63</v>
      </c>
      <c r="B14" s="35">
        <f t="shared" si="0"/>
        <v>16</v>
      </c>
      <c r="C14" s="35">
        <v>3</v>
      </c>
      <c r="D14" s="35">
        <v>5</v>
      </c>
      <c r="E14" s="35">
        <v>6</v>
      </c>
      <c r="F14" s="35">
        <v>2</v>
      </c>
      <c r="G14" s="36">
        <f t="shared" si="1"/>
        <v>4</v>
      </c>
    </row>
    <row r="15" spans="1:7" x14ac:dyDescent="0.35">
      <c r="A15" s="35" t="s">
        <v>64</v>
      </c>
      <c r="B15" s="35">
        <f t="shared" si="0"/>
        <v>21</v>
      </c>
      <c r="C15" s="35">
        <v>6</v>
      </c>
      <c r="D15" s="35">
        <v>5</v>
      </c>
      <c r="E15" s="35">
        <v>6</v>
      </c>
      <c r="F15" s="35">
        <v>4</v>
      </c>
      <c r="G15" s="36">
        <f>AVERAGE(C15:F15)</f>
        <v>5.25</v>
      </c>
    </row>
    <row r="16" spans="1:7" x14ac:dyDescent="0.35">
      <c r="A16" s="35" t="s">
        <v>65</v>
      </c>
      <c r="B16" s="35">
        <f t="shared" si="0"/>
        <v>7</v>
      </c>
      <c r="C16" s="35">
        <v>1</v>
      </c>
      <c r="D16" s="35">
        <v>2</v>
      </c>
      <c r="E16" s="35">
        <v>2</v>
      </c>
      <c r="F16" s="35">
        <v>2</v>
      </c>
      <c r="G16" s="36">
        <f t="shared" si="1"/>
        <v>1.75</v>
      </c>
    </row>
    <row r="20" spans="4:4" x14ac:dyDescent="0.35">
      <c r="D20" s="3"/>
    </row>
  </sheetData>
  <mergeCells count="3">
    <mergeCell ref="A1:G1"/>
    <mergeCell ref="A2:G2"/>
    <mergeCell ref="A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7CDD-4103-4B46-B937-D5FA71F205A3}">
  <dimension ref="A14:I126"/>
  <sheetViews>
    <sheetView showGridLines="0" tabSelected="1" topLeftCell="A8" zoomScale="64" zoomScaleNormal="64" workbookViewId="0">
      <selection activeCell="C21" sqref="C21"/>
    </sheetView>
  </sheetViews>
  <sheetFormatPr defaultColWidth="8.6328125" defaultRowHeight="14.5" x14ac:dyDescent="0.35"/>
  <cols>
    <col min="1" max="1" width="3.90625" style="37" bestFit="1" customWidth="1"/>
    <col min="2" max="2" width="19.7265625" style="37" bestFit="1" customWidth="1"/>
    <col min="3" max="3" width="90.7265625" style="37" bestFit="1" customWidth="1"/>
    <col min="4" max="4" width="17" style="37" bestFit="1" customWidth="1"/>
    <col min="5" max="5" width="9.6328125" style="37" customWidth="1"/>
    <col min="6" max="6" width="16.7265625" style="37" bestFit="1" customWidth="1"/>
    <col min="7" max="7" width="41.81640625" style="37" bestFit="1" customWidth="1"/>
    <col min="8" max="8" width="3.54296875" style="37" bestFit="1" customWidth="1"/>
    <col min="9" max="9" width="10" style="37" bestFit="1" customWidth="1"/>
    <col min="10" max="16384" width="8.6328125" style="37"/>
  </cols>
  <sheetData>
    <row r="14" s="37" customFormat="1" x14ac:dyDescent="0.35"/>
    <row r="18" spans="1:9" ht="27.75" customHeight="1" x14ac:dyDescent="0.35">
      <c r="A18" s="38" t="s">
        <v>67</v>
      </c>
      <c r="B18" s="38"/>
      <c r="C18" s="38"/>
      <c r="D18" s="38"/>
      <c r="E18" s="38"/>
      <c r="F18" s="38"/>
      <c r="G18" s="38"/>
      <c r="H18" s="38"/>
      <c r="I18" s="38"/>
    </row>
    <row r="19" spans="1:9" ht="24" customHeight="1" x14ac:dyDescent="0.35">
      <c r="A19" s="39" t="s">
        <v>68</v>
      </c>
      <c r="B19" s="40" t="s">
        <v>69</v>
      </c>
      <c r="C19" s="40" t="s">
        <v>70</v>
      </c>
      <c r="D19" s="40" t="s">
        <v>71</v>
      </c>
      <c r="E19" s="40" t="s">
        <v>72</v>
      </c>
      <c r="F19" s="40" t="s">
        <v>55</v>
      </c>
      <c r="G19" s="40" t="s">
        <v>73</v>
      </c>
      <c r="H19" s="40" t="s">
        <v>52</v>
      </c>
      <c r="I19" s="41" t="s">
        <v>74</v>
      </c>
    </row>
    <row r="20" spans="1:9" ht="31.5" hidden="1" customHeight="1" x14ac:dyDescent="0.35">
      <c r="A20" s="42">
        <v>1</v>
      </c>
      <c r="B20" s="72"/>
      <c r="C20" s="72"/>
      <c r="D20" s="44" t="s">
        <v>44</v>
      </c>
      <c r="E20" s="45">
        <v>0</v>
      </c>
      <c r="F20" s="43" t="s">
        <v>62</v>
      </c>
      <c r="G20" s="43" t="s">
        <v>75</v>
      </c>
      <c r="H20" s="46" t="s">
        <v>76</v>
      </c>
      <c r="I20" s="47" t="s">
        <v>77</v>
      </c>
    </row>
    <row r="21" spans="1:9" ht="31.5" hidden="1" customHeight="1" x14ac:dyDescent="0.35">
      <c r="A21" s="48">
        <v>2</v>
      </c>
      <c r="B21" s="73"/>
      <c r="C21" s="73"/>
      <c r="D21" s="50" t="s">
        <v>43</v>
      </c>
      <c r="E21" s="51">
        <v>-0.4</v>
      </c>
      <c r="F21" s="49" t="s">
        <v>59</v>
      </c>
      <c r="G21" s="49" t="s">
        <v>78</v>
      </c>
      <c r="H21" s="52" t="s">
        <v>76</v>
      </c>
      <c r="I21" s="53" t="s">
        <v>79</v>
      </c>
    </row>
    <row r="22" spans="1:9" ht="31.5" hidden="1" customHeight="1" x14ac:dyDescent="0.35">
      <c r="A22" s="42">
        <v>3</v>
      </c>
      <c r="B22" s="72"/>
      <c r="C22" s="72"/>
      <c r="D22" s="54" t="s">
        <v>33</v>
      </c>
      <c r="E22" s="45">
        <v>0</v>
      </c>
      <c r="F22" s="43" t="s">
        <v>62</v>
      </c>
      <c r="G22" s="43" t="s">
        <v>80</v>
      </c>
      <c r="H22" s="46" t="s">
        <v>76</v>
      </c>
      <c r="I22" s="47" t="s">
        <v>77</v>
      </c>
    </row>
    <row r="23" spans="1:9" ht="31.5" hidden="1" customHeight="1" x14ac:dyDescent="0.35">
      <c r="A23" s="48">
        <v>4</v>
      </c>
      <c r="B23" s="73"/>
      <c r="C23" s="73"/>
      <c r="D23" s="50" t="s">
        <v>57</v>
      </c>
      <c r="E23" s="51">
        <v>-0.4</v>
      </c>
      <c r="F23" s="49" t="s">
        <v>39</v>
      </c>
      <c r="G23" s="49" t="s">
        <v>81</v>
      </c>
      <c r="H23" s="52" t="s">
        <v>76</v>
      </c>
      <c r="I23" s="53" t="s">
        <v>79</v>
      </c>
    </row>
    <row r="24" spans="1:9" ht="31.5" customHeight="1" x14ac:dyDescent="0.35">
      <c r="A24" s="42">
        <v>5</v>
      </c>
      <c r="B24" s="72"/>
      <c r="C24" s="72"/>
      <c r="D24" s="55" t="s">
        <v>43</v>
      </c>
      <c r="E24" s="56">
        <v>-0.5</v>
      </c>
      <c r="F24" s="43" t="s">
        <v>63</v>
      </c>
      <c r="G24" s="43" t="s">
        <v>82</v>
      </c>
      <c r="H24" s="46" t="s">
        <v>76</v>
      </c>
      <c r="I24" s="57" t="s">
        <v>83</v>
      </c>
    </row>
    <row r="25" spans="1:9" ht="31.5" hidden="1" customHeight="1" x14ac:dyDescent="0.35">
      <c r="A25" s="48">
        <v>6</v>
      </c>
      <c r="B25" s="73"/>
      <c r="C25" s="73"/>
      <c r="D25" s="58" t="s">
        <v>57</v>
      </c>
      <c r="E25" s="59">
        <v>0</v>
      </c>
      <c r="F25" s="49" t="s">
        <v>59</v>
      </c>
      <c r="G25" s="49" t="s">
        <v>84</v>
      </c>
      <c r="H25" s="52" t="s">
        <v>76</v>
      </c>
      <c r="I25" s="60" t="s">
        <v>77</v>
      </c>
    </row>
    <row r="26" spans="1:9" ht="31.5" hidden="1" customHeight="1" x14ac:dyDescent="0.35">
      <c r="A26" s="42">
        <v>7</v>
      </c>
      <c r="B26" s="72"/>
      <c r="C26" s="72"/>
      <c r="D26" s="44" t="s">
        <v>44</v>
      </c>
      <c r="E26" s="56">
        <v>-0.4</v>
      </c>
      <c r="F26" s="43" t="s">
        <v>62</v>
      </c>
      <c r="G26" s="43" t="s">
        <v>85</v>
      </c>
      <c r="H26" s="46" t="s">
        <v>76</v>
      </c>
      <c r="I26" s="57" t="s">
        <v>79</v>
      </c>
    </row>
    <row r="27" spans="1:9" ht="31.5" hidden="1" customHeight="1" x14ac:dyDescent="0.35">
      <c r="A27" s="48">
        <v>8</v>
      </c>
      <c r="B27" s="73"/>
      <c r="C27" s="73"/>
      <c r="D27" s="50" t="s">
        <v>57</v>
      </c>
      <c r="E27" s="51">
        <v>-0.3</v>
      </c>
      <c r="F27" s="49" t="s">
        <v>64</v>
      </c>
      <c r="G27" s="49" t="s">
        <v>86</v>
      </c>
      <c r="H27" s="52" t="s">
        <v>76</v>
      </c>
      <c r="I27" s="53" t="s">
        <v>87</v>
      </c>
    </row>
    <row r="28" spans="1:9" ht="31.5" hidden="1" customHeight="1" x14ac:dyDescent="0.35">
      <c r="A28" s="42">
        <v>9</v>
      </c>
      <c r="B28" s="72"/>
      <c r="C28" s="72"/>
      <c r="D28" s="54" t="s">
        <v>33</v>
      </c>
      <c r="E28" s="45">
        <v>0</v>
      </c>
      <c r="F28" s="43" t="s">
        <v>62</v>
      </c>
      <c r="G28" s="43" t="s">
        <v>88</v>
      </c>
      <c r="H28" s="46" t="s">
        <v>89</v>
      </c>
      <c r="I28" s="47" t="s">
        <v>77</v>
      </c>
    </row>
    <row r="29" spans="1:9" ht="31.5" hidden="1" customHeight="1" x14ac:dyDescent="0.35">
      <c r="A29" s="48">
        <v>10</v>
      </c>
      <c r="B29" s="73"/>
      <c r="C29" s="73"/>
      <c r="D29" s="50" t="s">
        <v>43</v>
      </c>
      <c r="E29" s="51">
        <v>-0.4</v>
      </c>
      <c r="F29" s="49" t="s">
        <v>62</v>
      </c>
      <c r="G29" s="49" t="s">
        <v>90</v>
      </c>
      <c r="H29" s="52" t="s">
        <v>76</v>
      </c>
      <c r="I29" s="53" t="s">
        <v>79</v>
      </c>
    </row>
    <row r="30" spans="1:9" ht="31.5" hidden="1" customHeight="1" x14ac:dyDescent="0.35">
      <c r="A30" s="42">
        <v>11</v>
      </c>
      <c r="B30" s="72"/>
      <c r="C30" s="72"/>
      <c r="D30" s="44" t="s">
        <v>44</v>
      </c>
      <c r="E30" s="61">
        <v>0.6</v>
      </c>
      <c r="F30" s="43" t="s">
        <v>62</v>
      </c>
      <c r="G30" s="43" t="s">
        <v>91</v>
      </c>
      <c r="H30" s="46" t="s">
        <v>89</v>
      </c>
      <c r="I30" s="62" t="s">
        <v>92</v>
      </c>
    </row>
    <row r="31" spans="1:9" ht="31.5" customHeight="1" x14ac:dyDescent="0.35">
      <c r="A31" s="48">
        <v>12</v>
      </c>
      <c r="B31" s="73"/>
      <c r="C31" s="73"/>
      <c r="D31" s="50" t="s">
        <v>57</v>
      </c>
      <c r="E31" s="51">
        <v>-0.4</v>
      </c>
      <c r="F31" s="49" t="s">
        <v>63</v>
      </c>
      <c r="G31" s="49" t="s">
        <v>93</v>
      </c>
      <c r="H31" s="52" t="s">
        <v>76</v>
      </c>
      <c r="I31" s="53" t="s">
        <v>79</v>
      </c>
    </row>
    <row r="32" spans="1:9" ht="31.5" hidden="1" customHeight="1" x14ac:dyDescent="0.35">
      <c r="A32" s="42">
        <v>13</v>
      </c>
      <c r="B32" s="72"/>
      <c r="C32" s="72"/>
      <c r="D32" s="54" t="s">
        <v>33</v>
      </c>
      <c r="E32" s="45">
        <v>0</v>
      </c>
      <c r="F32" s="43" t="s">
        <v>62</v>
      </c>
      <c r="G32" s="43" t="s">
        <v>94</v>
      </c>
      <c r="H32" s="46" t="s">
        <v>89</v>
      </c>
      <c r="I32" s="47" t="s">
        <v>77</v>
      </c>
    </row>
    <row r="33" spans="1:9" ht="31.5" hidden="1" customHeight="1" x14ac:dyDescent="0.35">
      <c r="A33" s="48">
        <v>14</v>
      </c>
      <c r="B33" s="73"/>
      <c r="C33" s="73"/>
      <c r="D33" s="50" t="s">
        <v>43</v>
      </c>
      <c r="E33" s="59">
        <v>0</v>
      </c>
      <c r="F33" s="49" t="s">
        <v>59</v>
      </c>
      <c r="G33" s="49" t="s">
        <v>95</v>
      </c>
      <c r="H33" s="52" t="s">
        <v>76</v>
      </c>
      <c r="I33" s="60" t="s">
        <v>77</v>
      </c>
    </row>
    <row r="34" spans="1:9" ht="31.5" hidden="1" customHeight="1" x14ac:dyDescent="0.35">
      <c r="A34" s="42">
        <v>15</v>
      </c>
      <c r="B34" s="72"/>
      <c r="C34" s="72"/>
      <c r="D34" s="55" t="s">
        <v>43</v>
      </c>
      <c r="E34" s="56">
        <v>-0.4</v>
      </c>
      <c r="F34" s="43" t="s">
        <v>64</v>
      </c>
      <c r="G34" s="43" t="s">
        <v>96</v>
      </c>
      <c r="H34" s="46" t="s">
        <v>76</v>
      </c>
      <c r="I34" s="57" t="s">
        <v>79</v>
      </c>
    </row>
    <row r="35" spans="1:9" ht="31.5" customHeight="1" x14ac:dyDescent="0.35">
      <c r="A35" s="48">
        <v>16</v>
      </c>
      <c r="B35" s="73"/>
      <c r="C35" s="73"/>
      <c r="D35" s="58" t="s">
        <v>33</v>
      </c>
      <c r="E35" s="59">
        <v>0</v>
      </c>
      <c r="F35" s="49" t="s">
        <v>63</v>
      </c>
      <c r="G35" s="49" t="s">
        <v>97</v>
      </c>
      <c r="H35" s="52" t="s">
        <v>76</v>
      </c>
      <c r="I35" s="60" t="s">
        <v>77</v>
      </c>
    </row>
    <row r="36" spans="1:9" ht="31.5" customHeight="1" x14ac:dyDescent="0.35">
      <c r="A36" s="42">
        <v>17</v>
      </c>
      <c r="B36" s="72"/>
      <c r="C36" s="72"/>
      <c r="D36" s="55" t="s">
        <v>57</v>
      </c>
      <c r="E36" s="56">
        <v>-0.3</v>
      </c>
      <c r="F36" s="43" t="s">
        <v>63</v>
      </c>
      <c r="G36" s="43" t="s">
        <v>98</v>
      </c>
      <c r="H36" s="46" t="s">
        <v>76</v>
      </c>
      <c r="I36" s="57" t="s">
        <v>87</v>
      </c>
    </row>
    <row r="37" spans="1:9" ht="31.5" hidden="1" customHeight="1" x14ac:dyDescent="0.35">
      <c r="A37" s="48">
        <v>18</v>
      </c>
      <c r="B37" s="73"/>
      <c r="C37" s="73"/>
      <c r="D37" s="50" t="s">
        <v>43</v>
      </c>
      <c r="E37" s="51">
        <v>-0.4</v>
      </c>
      <c r="F37" s="49" t="s">
        <v>59</v>
      </c>
      <c r="G37" s="49" t="s">
        <v>99</v>
      </c>
      <c r="H37" s="52" t="s">
        <v>76</v>
      </c>
      <c r="I37" s="53" t="s">
        <v>79</v>
      </c>
    </row>
    <row r="38" spans="1:9" ht="31.5" hidden="1" customHeight="1" x14ac:dyDescent="0.35">
      <c r="A38" s="42">
        <v>19</v>
      </c>
      <c r="B38" s="72"/>
      <c r="C38" s="72"/>
      <c r="D38" s="44" t="s">
        <v>44</v>
      </c>
      <c r="E38" s="61">
        <v>0.4</v>
      </c>
      <c r="F38" s="43" t="s">
        <v>61</v>
      </c>
      <c r="G38" s="43" t="s">
        <v>100</v>
      </c>
      <c r="H38" s="46" t="s">
        <v>89</v>
      </c>
      <c r="I38" s="62" t="s">
        <v>79</v>
      </c>
    </row>
    <row r="39" spans="1:9" ht="31.5" hidden="1" customHeight="1" x14ac:dyDescent="0.35">
      <c r="A39" s="48">
        <v>20</v>
      </c>
      <c r="B39" s="73"/>
      <c r="C39" s="73"/>
      <c r="D39" s="58" t="s">
        <v>33</v>
      </c>
      <c r="E39" s="59">
        <v>0</v>
      </c>
      <c r="F39" s="49" t="s">
        <v>61</v>
      </c>
      <c r="G39" s="49" t="s">
        <v>101</v>
      </c>
      <c r="H39" s="52" t="s">
        <v>76</v>
      </c>
      <c r="I39" s="60" t="s">
        <v>77</v>
      </c>
    </row>
    <row r="40" spans="1:9" ht="31.5" hidden="1" customHeight="1" x14ac:dyDescent="0.35">
      <c r="A40" s="42">
        <v>21</v>
      </c>
      <c r="B40" s="72"/>
      <c r="C40" s="72"/>
      <c r="D40" s="54" t="s">
        <v>33</v>
      </c>
      <c r="E40" s="45">
        <v>0</v>
      </c>
      <c r="F40" s="43" t="s">
        <v>64</v>
      </c>
      <c r="G40" s="43" t="s">
        <v>102</v>
      </c>
      <c r="H40" s="46" t="s">
        <v>76</v>
      </c>
      <c r="I40" s="47" t="s">
        <v>77</v>
      </c>
    </row>
    <row r="41" spans="1:9" ht="31.5" hidden="1" customHeight="1" x14ac:dyDescent="0.35">
      <c r="A41" s="48">
        <v>22</v>
      </c>
      <c r="B41" s="73"/>
      <c r="C41" s="73"/>
      <c r="D41" s="50" t="s">
        <v>43</v>
      </c>
      <c r="E41" s="51">
        <v>-0.5</v>
      </c>
      <c r="F41" s="49" t="s">
        <v>39</v>
      </c>
      <c r="G41" s="49" t="s">
        <v>103</v>
      </c>
      <c r="H41" s="52" t="s">
        <v>76</v>
      </c>
      <c r="I41" s="53" t="s">
        <v>83</v>
      </c>
    </row>
    <row r="42" spans="1:9" ht="31.5" hidden="1" customHeight="1" x14ac:dyDescent="0.35">
      <c r="A42" s="42">
        <v>23</v>
      </c>
      <c r="B42" s="72"/>
      <c r="C42" s="72"/>
      <c r="D42" s="55" t="s">
        <v>43</v>
      </c>
      <c r="E42" s="56">
        <v>-0.5</v>
      </c>
      <c r="F42" s="43" t="s">
        <v>62</v>
      </c>
      <c r="G42" s="43" t="s">
        <v>104</v>
      </c>
      <c r="H42" s="46" t="s">
        <v>76</v>
      </c>
      <c r="I42" s="57" t="s">
        <v>83</v>
      </c>
    </row>
    <row r="43" spans="1:9" ht="31.5" hidden="1" customHeight="1" x14ac:dyDescent="0.35">
      <c r="A43" s="48">
        <v>24</v>
      </c>
      <c r="B43" s="73"/>
      <c r="C43" s="73"/>
      <c r="D43" s="58" t="s">
        <v>33</v>
      </c>
      <c r="E43" s="59">
        <v>0</v>
      </c>
      <c r="F43" s="49" t="s">
        <v>62</v>
      </c>
      <c r="G43" s="49" t="s">
        <v>105</v>
      </c>
      <c r="H43" s="52" t="s">
        <v>89</v>
      </c>
      <c r="I43" s="60" t="s">
        <v>77</v>
      </c>
    </row>
    <row r="44" spans="1:9" ht="31.5" hidden="1" customHeight="1" x14ac:dyDescent="0.35">
      <c r="A44" s="42">
        <v>25</v>
      </c>
      <c r="B44" s="72"/>
      <c r="C44" s="72"/>
      <c r="D44" s="55" t="s">
        <v>43</v>
      </c>
      <c r="E44" s="56">
        <v>-0.4</v>
      </c>
      <c r="F44" s="43" t="s">
        <v>61</v>
      </c>
      <c r="G44" s="43" t="s">
        <v>106</v>
      </c>
      <c r="H44" s="46" t="s">
        <v>76</v>
      </c>
      <c r="I44" s="57" t="s">
        <v>79</v>
      </c>
    </row>
    <row r="45" spans="1:9" ht="31.5" hidden="1" customHeight="1" x14ac:dyDescent="0.35">
      <c r="A45" s="48">
        <v>26</v>
      </c>
      <c r="B45" s="73"/>
      <c r="C45" s="73"/>
      <c r="D45" s="55" t="s">
        <v>43</v>
      </c>
      <c r="E45" s="59">
        <v>0</v>
      </c>
      <c r="F45" s="49" t="s">
        <v>59</v>
      </c>
      <c r="G45" s="49" t="s">
        <v>107</v>
      </c>
      <c r="H45" s="52" t="s">
        <v>76</v>
      </c>
      <c r="I45" s="60" t="s">
        <v>77</v>
      </c>
    </row>
    <row r="46" spans="1:9" ht="31.5" hidden="1" customHeight="1" x14ac:dyDescent="0.35">
      <c r="A46" s="42">
        <v>27</v>
      </c>
      <c r="B46" s="72"/>
      <c r="C46" s="72"/>
      <c r="D46" s="55" t="s">
        <v>43</v>
      </c>
      <c r="E46" s="56">
        <v>-0.4</v>
      </c>
      <c r="F46" s="43" t="s">
        <v>61</v>
      </c>
      <c r="G46" s="43" t="s">
        <v>108</v>
      </c>
      <c r="H46" s="46" t="s">
        <v>76</v>
      </c>
      <c r="I46" s="57" t="s">
        <v>79</v>
      </c>
    </row>
    <row r="47" spans="1:9" ht="31.5" hidden="1" customHeight="1" x14ac:dyDescent="0.35">
      <c r="A47" s="48">
        <v>28</v>
      </c>
      <c r="B47" s="73"/>
      <c r="C47" s="73"/>
      <c r="D47" s="50" t="s">
        <v>43</v>
      </c>
      <c r="E47" s="51">
        <v>-0.3</v>
      </c>
      <c r="F47" s="49" t="s">
        <v>64</v>
      </c>
      <c r="G47" s="49" t="s">
        <v>109</v>
      </c>
      <c r="H47" s="52" t="s">
        <v>76</v>
      </c>
      <c r="I47" s="53" t="s">
        <v>87</v>
      </c>
    </row>
    <row r="48" spans="1:9" ht="31.5" hidden="1" customHeight="1" x14ac:dyDescent="0.35">
      <c r="A48" s="42">
        <v>29</v>
      </c>
      <c r="B48" s="72"/>
      <c r="C48" s="72"/>
      <c r="D48" s="54" t="s">
        <v>33</v>
      </c>
      <c r="E48" s="45">
        <v>0</v>
      </c>
      <c r="F48" s="43" t="s">
        <v>39</v>
      </c>
      <c r="G48" s="43" t="s">
        <v>110</v>
      </c>
      <c r="H48" s="46" t="s">
        <v>76</v>
      </c>
      <c r="I48" s="47" t="s">
        <v>77</v>
      </c>
    </row>
    <row r="49" spans="1:9" ht="31.5" hidden="1" customHeight="1" x14ac:dyDescent="0.35">
      <c r="A49" s="48">
        <v>30</v>
      </c>
      <c r="B49" s="73"/>
      <c r="C49" s="73"/>
      <c r="D49" s="50" t="s">
        <v>43</v>
      </c>
      <c r="E49" s="51">
        <v>-0.4</v>
      </c>
      <c r="F49" s="49" t="s">
        <v>62</v>
      </c>
      <c r="G49" s="49" t="s">
        <v>111</v>
      </c>
      <c r="H49" s="52" t="s">
        <v>76</v>
      </c>
      <c r="I49" s="53" t="s">
        <v>79</v>
      </c>
    </row>
    <row r="50" spans="1:9" ht="31.5" hidden="1" customHeight="1" x14ac:dyDescent="0.35">
      <c r="A50" s="42">
        <v>31</v>
      </c>
      <c r="B50" s="72"/>
      <c r="C50" s="72"/>
      <c r="D50" s="44" t="s">
        <v>44</v>
      </c>
      <c r="E50" s="61">
        <v>0.4</v>
      </c>
      <c r="F50" s="43" t="s">
        <v>60</v>
      </c>
      <c r="G50" s="43" t="s">
        <v>112</v>
      </c>
      <c r="H50" s="46" t="s">
        <v>89</v>
      </c>
      <c r="I50" s="62" t="s">
        <v>79</v>
      </c>
    </row>
    <row r="51" spans="1:9" ht="31.5" hidden="1" customHeight="1" x14ac:dyDescent="0.35">
      <c r="A51" s="48">
        <v>32</v>
      </c>
      <c r="B51" s="73"/>
      <c r="C51" s="73"/>
      <c r="D51" s="50" t="s">
        <v>43</v>
      </c>
      <c r="E51" s="59">
        <v>0</v>
      </c>
      <c r="F51" s="49" t="s">
        <v>39</v>
      </c>
      <c r="G51" s="49" t="s">
        <v>113</v>
      </c>
      <c r="H51" s="52" t="s">
        <v>76</v>
      </c>
      <c r="I51" s="60" t="s">
        <v>77</v>
      </c>
    </row>
    <row r="52" spans="1:9" ht="31.5" hidden="1" customHeight="1" x14ac:dyDescent="0.35">
      <c r="A52" s="42">
        <v>33</v>
      </c>
      <c r="B52" s="72"/>
      <c r="C52" s="72"/>
      <c r="D52" s="44" t="s">
        <v>44</v>
      </c>
      <c r="E52" s="45">
        <v>0</v>
      </c>
      <c r="F52" s="43" t="s">
        <v>62</v>
      </c>
      <c r="G52" s="43" t="s">
        <v>114</v>
      </c>
      <c r="H52" s="46" t="s">
        <v>76</v>
      </c>
      <c r="I52" s="47" t="s">
        <v>77</v>
      </c>
    </row>
    <row r="53" spans="1:9" ht="31.5" hidden="1" customHeight="1" x14ac:dyDescent="0.35">
      <c r="A53" s="48">
        <v>34</v>
      </c>
      <c r="B53" s="73"/>
      <c r="C53" s="73"/>
      <c r="D53" s="58" t="s">
        <v>33</v>
      </c>
      <c r="E53" s="59">
        <v>0</v>
      </c>
      <c r="F53" s="49" t="s">
        <v>62</v>
      </c>
      <c r="G53" s="49" t="s">
        <v>115</v>
      </c>
      <c r="H53" s="52" t="s">
        <v>76</v>
      </c>
      <c r="I53" s="60" t="s">
        <v>77</v>
      </c>
    </row>
    <row r="54" spans="1:9" ht="31.5" hidden="1" customHeight="1" x14ac:dyDescent="0.35">
      <c r="A54" s="42">
        <v>35</v>
      </c>
      <c r="B54" s="72"/>
      <c r="C54" s="72"/>
      <c r="D54" s="54" t="s">
        <v>33</v>
      </c>
      <c r="E54" s="45">
        <v>0</v>
      </c>
      <c r="F54" s="43" t="s">
        <v>64</v>
      </c>
      <c r="G54" s="43" t="s">
        <v>116</v>
      </c>
      <c r="H54" s="46" t="s">
        <v>76</v>
      </c>
      <c r="I54" s="47" t="s">
        <v>77</v>
      </c>
    </row>
    <row r="55" spans="1:9" ht="31.5" hidden="1" customHeight="1" x14ac:dyDescent="0.35">
      <c r="A55" s="48">
        <v>36</v>
      </c>
      <c r="B55" s="73"/>
      <c r="C55" s="73"/>
      <c r="D55" s="50" t="s">
        <v>43</v>
      </c>
      <c r="E55" s="51">
        <v>-0.3</v>
      </c>
      <c r="F55" s="49" t="s">
        <v>59</v>
      </c>
      <c r="G55" s="49" t="s">
        <v>117</v>
      </c>
      <c r="H55" s="52" t="s">
        <v>76</v>
      </c>
      <c r="I55" s="53" t="s">
        <v>87</v>
      </c>
    </row>
    <row r="56" spans="1:9" ht="31.5" hidden="1" customHeight="1" x14ac:dyDescent="0.35">
      <c r="A56" s="42">
        <v>37</v>
      </c>
      <c r="B56" s="72"/>
      <c r="C56" s="72"/>
      <c r="D56" s="55" t="s">
        <v>43</v>
      </c>
      <c r="E56" s="56">
        <v>-0.3</v>
      </c>
      <c r="F56" s="43" t="s">
        <v>61</v>
      </c>
      <c r="G56" s="43" t="s">
        <v>118</v>
      </c>
      <c r="H56" s="46" t="s">
        <v>76</v>
      </c>
      <c r="I56" s="57" t="s">
        <v>87</v>
      </c>
    </row>
    <row r="57" spans="1:9" ht="31.5" hidden="1" customHeight="1" x14ac:dyDescent="0.35">
      <c r="A57" s="48">
        <v>38</v>
      </c>
      <c r="B57" s="73"/>
      <c r="C57" s="73"/>
      <c r="D57" s="50" t="s">
        <v>43</v>
      </c>
      <c r="E57" s="51">
        <v>-0.5</v>
      </c>
      <c r="F57" s="49" t="s">
        <v>59</v>
      </c>
      <c r="G57" s="49" t="s">
        <v>119</v>
      </c>
      <c r="H57" s="52" t="s">
        <v>76</v>
      </c>
      <c r="I57" s="53" t="s">
        <v>83</v>
      </c>
    </row>
    <row r="58" spans="1:9" ht="31.5" hidden="1" customHeight="1" x14ac:dyDescent="0.35">
      <c r="A58" s="42">
        <v>39</v>
      </c>
      <c r="B58" s="72"/>
      <c r="C58" s="72"/>
      <c r="D58" s="54" t="s">
        <v>33</v>
      </c>
      <c r="E58" s="45">
        <v>0</v>
      </c>
      <c r="F58" s="43" t="s">
        <v>64</v>
      </c>
      <c r="G58" s="43" t="s">
        <v>120</v>
      </c>
      <c r="H58" s="46" t="s">
        <v>76</v>
      </c>
      <c r="I58" s="47" t="s">
        <v>77</v>
      </c>
    </row>
    <row r="59" spans="1:9" ht="31.5" hidden="1" customHeight="1" x14ac:dyDescent="0.35">
      <c r="A59" s="48">
        <v>40</v>
      </c>
      <c r="B59" s="73"/>
      <c r="C59" s="73"/>
      <c r="D59" s="50" t="s">
        <v>43</v>
      </c>
      <c r="E59" s="51">
        <v>-0.3</v>
      </c>
      <c r="F59" s="49" t="s">
        <v>64</v>
      </c>
      <c r="G59" s="49" t="s">
        <v>121</v>
      </c>
      <c r="H59" s="52" t="s">
        <v>76</v>
      </c>
      <c r="I59" s="53" t="s">
        <v>87</v>
      </c>
    </row>
    <row r="60" spans="1:9" ht="31.5" hidden="1" customHeight="1" x14ac:dyDescent="0.35">
      <c r="A60" s="42">
        <v>41</v>
      </c>
      <c r="B60" s="72"/>
      <c r="C60" s="72"/>
      <c r="D60" s="55" t="s">
        <v>43</v>
      </c>
      <c r="E60" s="56">
        <v>-0.4</v>
      </c>
      <c r="F60" s="43" t="s">
        <v>59</v>
      </c>
      <c r="G60" s="43" t="s">
        <v>122</v>
      </c>
      <c r="H60" s="46" t="s">
        <v>76</v>
      </c>
      <c r="I60" s="57" t="s">
        <v>79</v>
      </c>
    </row>
    <row r="61" spans="1:9" ht="31.5" customHeight="1" x14ac:dyDescent="0.35">
      <c r="A61" s="48">
        <v>42</v>
      </c>
      <c r="B61" s="73"/>
      <c r="C61" s="73"/>
      <c r="D61" s="58" t="s">
        <v>33</v>
      </c>
      <c r="E61" s="59">
        <v>0</v>
      </c>
      <c r="F61" s="49" t="s">
        <v>63</v>
      </c>
      <c r="G61" s="49" t="s">
        <v>123</v>
      </c>
      <c r="H61" s="52" t="s">
        <v>76</v>
      </c>
      <c r="I61" s="60" t="s">
        <v>77</v>
      </c>
    </row>
    <row r="62" spans="1:9" ht="31.5" hidden="1" customHeight="1" x14ac:dyDescent="0.35">
      <c r="A62" s="42">
        <v>43</v>
      </c>
      <c r="B62" s="72"/>
      <c r="C62" s="72"/>
      <c r="D62" s="54" t="s">
        <v>33</v>
      </c>
      <c r="E62" s="45">
        <v>0</v>
      </c>
      <c r="F62" s="43" t="s">
        <v>64</v>
      </c>
      <c r="G62" s="43" t="s">
        <v>124</v>
      </c>
      <c r="H62" s="46" t="s">
        <v>76</v>
      </c>
      <c r="I62" s="47" t="s">
        <v>77</v>
      </c>
    </row>
    <row r="63" spans="1:9" ht="31.5" hidden="1" customHeight="1" x14ac:dyDescent="0.35">
      <c r="A63" s="48">
        <v>44</v>
      </c>
      <c r="B63" s="73"/>
      <c r="C63" s="73"/>
      <c r="D63" s="63" t="s">
        <v>44</v>
      </c>
      <c r="E63" s="64">
        <v>0.6</v>
      </c>
      <c r="F63" s="49" t="s">
        <v>59</v>
      </c>
      <c r="G63" s="49" t="s">
        <v>125</v>
      </c>
      <c r="H63" s="52" t="s">
        <v>89</v>
      </c>
      <c r="I63" s="65" t="s">
        <v>92</v>
      </c>
    </row>
    <row r="64" spans="1:9" ht="31.5" hidden="1" customHeight="1" x14ac:dyDescent="0.35">
      <c r="A64" s="42">
        <v>45</v>
      </c>
      <c r="B64" s="72"/>
      <c r="C64" s="72"/>
      <c r="D64" s="55" t="s">
        <v>43</v>
      </c>
      <c r="E64" s="56">
        <v>-0.4</v>
      </c>
      <c r="F64" s="43" t="s">
        <v>59</v>
      </c>
      <c r="G64" s="43" t="s">
        <v>126</v>
      </c>
      <c r="H64" s="46" t="s">
        <v>76</v>
      </c>
      <c r="I64" s="57" t="s">
        <v>79</v>
      </c>
    </row>
    <row r="65" spans="1:9" ht="31.5" hidden="1" customHeight="1" x14ac:dyDescent="0.35">
      <c r="A65" s="48">
        <v>46</v>
      </c>
      <c r="B65" s="73"/>
      <c r="C65" s="73"/>
      <c r="D65" s="58" t="s">
        <v>33</v>
      </c>
      <c r="E65" s="59">
        <v>0</v>
      </c>
      <c r="F65" s="49" t="s">
        <v>62</v>
      </c>
      <c r="G65" s="49"/>
      <c r="H65" s="52" t="s">
        <v>89</v>
      </c>
      <c r="I65" s="60" t="s">
        <v>77</v>
      </c>
    </row>
    <row r="66" spans="1:9" ht="31.5" hidden="1" customHeight="1" x14ac:dyDescent="0.35">
      <c r="A66" s="42">
        <v>47</v>
      </c>
      <c r="B66" s="72"/>
      <c r="C66" s="72"/>
      <c r="D66" s="55" t="s">
        <v>43</v>
      </c>
      <c r="E66" s="56">
        <v>-0.3</v>
      </c>
      <c r="F66" s="43" t="s">
        <v>65</v>
      </c>
      <c r="G66" s="43" t="s">
        <v>127</v>
      </c>
      <c r="H66" s="46" t="s">
        <v>76</v>
      </c>
      <c r="I66" s="57" t="s">
        <v>87</v>
      </c>
    </row>
    <row r="67" spans="1:9" ht="31.5" customHeight="1" x14ac:dyDescent="0.35">
      <c r="A67" s="48">
        <v>48</v>
      </c>
      <c r="B67" s="73"/>
      <c r="C67" s="73"/>
      <c r="D67" s="58" t="s">
        <v>33</v>
      </c>
      <c r="E67" s="59">
        <v>0</v>
      </c>
      <c r="F67" s="49" t="s">
        <v>63</v>
      </c>
      <c r="G67" s="49" t="s">
        <v>128</v>
      </c>
      <c r="H67" s="52" t="s">
        <v>76</v>
      </c>
      <c r="I67" s="60" t="s">
        <v>77</v>
      </c>
    </row>
    <row r="68" spans="1:9" ht="31.5" hidden="1" customHeight="1" x14ac:dyDescent="0.35">
      <c r="A68" s="42">
        <v>49</v>
      </c>
      <c r="B68" s="72"/>
      <c r="C68" s="72"/>
      <c r="D68" s="54" t="s">
        <v>33</v>
      </c>
      <c r="E68" s="45">
        <v>0</v>
      </c>
      <c r="F68" s="43" t="s">
        <v>64</v>
      </c>
      <c r="G68" s="43" t="s">
        <v>129</v>
      </c>
      <c r="H68" s="46" t="s">
        <v>76</v>
      </c>
      <c r="I68" s="47" t="s">
        <v>77</v>
      </c>
    </row>
    <row r="69" spans="1:9" ht="31.5" hidden="1" customHeight="1" x14ac:dyDescent="0.35">
      <c r="A69" s="48">
        <v>50</v>
      </c>
      <c r="B69" s="73"/>
      <c r="C69" s="73"/>
      <c r="D69" s="63" t="s">
        <v>44</v>
      </c>
      <c r="E69" s="51">
        <v>-0.5</v>
      </c>
      <c r="F69" s="49" t="s">
        <v>62</v>
      </c>
      <c r="G69" s="49" t="s">
        <v>130</v>
      </c>
      <c r="H69" s="52" t="s">
        <v>76</v>
      </c>
      <c r="I69" s="53" t="s">
        <v>83</v>
      </c>
    </row>
    <row r="70" spans="1:9" ht="31.5" hidden="1" customHeight="1" x14ac:dyDescent="0.35">
      <c r="A70" s="42">
        <v>51</v>
      </c>
      <c r="B70" s="72"/>
      <c r="C70" s="72"/>
      <c r="D70" s="63" t="s">
        <v>44</v>
      </c>
      <c r="E70" s="45">
        <v>0</v>
      </c>
      <c r="F70" s="43" t="s">
        <v>62</v>
      </c>
      <c r="G70" s="43" t="s">
        <v>131</v>
      </c>
      <c r="H70" s="46" t="s">
        <v>76</v>
      </c>
      <c r="I70" s="47" t="s">
        <v>77</v>
      </c>
    </row>
    <row r="71" spans="1:9" ht="31.5" hidden="1" customHeight="1" x14ac:dyDescent="0.35">
      <c r="A71" s="48">
        <v>52</v>
      </c>
      <c r="B71" s="73"/>
      <c r="C71" s="73"/>
      <c r="D71" s="55" t="s">
        <v>43</v>
      </c>
      <c r="E71" s="59">
        <v>0</v>
      </c>
      <c r="F71" s="49" t="s">
        <v>64</v>
      </c>
      <c r="G71" s="49" t="s">
        <v>132</v>
      </c>
      <c r="H71" s="52" t="s">
        <v>76</v>
      </c>
      <c r="I71" s="60" t="s">
        <v>77</v>
      </c>
    </row>
    <row r="72" spans="1:9" ht="31.5" hidden="1" customHeight="1" x14ac:dyDescent="0.35">
      <c r="A72" s="42">
        <v>53</v>
      </c>
      <c r="B72" s="72"/>
      <c r="C72" s="72"/>
      <c r="D72" s="55" t="s">
        <v>43</v>
      </c>
      <c r="E72" s="56">
        <v>-0.5</v>
      </c>
      <c r="F72" s="43" t="s">
        <v>64</v>
      </c>
      <c r="G72" s="43" t="s">
        <v>133</v>
      </c>
      <c r="H72" s="46" t="s">
        <v>76</v>
      </c>
      <c r="I72" s="57" t="s">
        <v>83</v>
      </c>
    </row>
    <row r="73" spans="1:9" ht="31.5" hidden="1" customHeight="1" x14ac:dyDescent="0.35">
      <c r="A73" s="48">
        <v>54</v>
      </c>
      <c r="B73" s="73"/>
      <c r="C73" s="73"/>
      <c r="D73" s="63" t="s">
        <v>44</v>
      </c>
      <c r="E73" s="59">
        <v>0</v>
      </c>
      <c r="F73" s="49" t="s">
        <v>62</v>
      </c>
      <c r="G73" s="49" t="s">
        <v>105</v>
      </c>
      <c r="H73" s="52" t="s">
        <v>89</v>
      </c>
      <c r="I73" s="60" t="s">
        <v>77</v>
      </c>
    </row>
    <row r="74" spans="1:9" ht="31.5" hidden="1" customHeight="1" x14ac:dyDescent="0.35">
      <c r="A74" s="42">
        <v>55</v>
      </c>
      <c r="B74" s="72"/>
      <c r="C74" s="72"/>
      <c r="D74" s="55" t="s">
        <v>43</v>
      </c>
      <c r="E74" s="56">
        <v>-0.3</v>
      </c>
      <c r="F74" s="43" t="s">
        <v>64</v>
      </c>
      <c r="G74" s="43" t="s">
        <v>134</v>
      </c>
      <c r="H74" s="46" t="s">
        <v>76</v>
      </c>
      <c r="I74" s="57" t="s">
        <v>87</v>
      </c>
    </row>
    <row r="75" spans="1:9" ht="31.5" customHeight="1" x14ac:dyDescent="0.35">
      <c r="A75" s="48">
        <v>56</v>
      </c>
      <c r="B75" s="73"/>
      <c r="C75" s="73"/>
      <c r="D75" s="54" t="s">
        <v>33</v>
      </c>
      <c r="E75" s="51">
        <v>-0.3</v>
      </c>
      <c r="F75" s="49" t="s">
        <v>63</v>
      </c>
      <c r="G75" s="49" t="s">
        <v>135</v>
      </c>
      <c r="H75" s="52" t="s">
        <v>76</v>
      </c>
      <c r="I75" s="53" t="s">
        <v>87</v>
      </c>
    </row>
    <row r="76" spans="1:9" ht="31.5" hidden="1" customHeight="1" x14ac:dyDescent="0.35">
      <c r="A76" s="42">
        <v>57</v>
      </c>
      <c r="B76" s="72"/>
      <c r="C76" s="72"/>
      <c r="D76" s="55" t="s">
        <v>43</v>
      </c>
      <c r="E76" s="56">
        <v>-0.5</v>
      </c>
      <c r="F76" s="43" t="s">
        <v>59</v>
      </c>
      <c r="G76" s="43" t="s">
        <v>136</v>
      </c>
      <c r="H76" s="46" t="s">
        <v>76</v>
      </c>
      <c r="I76" s="57" t="s">
        <v>83</v>
      </c>
    </row>
    <row r="77" spans="1:9" ht="31.5" customHeight="1" x14ac:dyDescent="0.35">
      <c r="A77" s="48">
        <v>58</v>
      </c>
      <c r="B77" s="73"/>
      <c r="C77" s="73"/>
      <c r="D77" s="58" t="s">
        <v>33</v>
      </c>
      <c r="E77" s="59">
        <v>0</v>
      </c>
      <c r="F77" s="49" t="s">
        <v>63</v>
      </c>
      <c r="G77" s="49" t="s">
        <v>137</v>
      </c>
      <c r="H77" s="52" t="s">
        <v>76</v>
      </c>
      <c r="I77" s="60" t="s">
        <v>77</v>
      </c>
    </row>
    <row r="78" spans="1:9" ht="31.5" hidden="1" customHeight="1" x14ac:dyDescent="0.35">
      <c r="A78" s="42">
        <v>59</v>
      </c>
      <c r="B78" s="72"/>
      <c r="C78" s="72"/>
      <c r="D78" s="54" t="s">
        <v>33</v>
      </c>
      <c r="E78" s="45">
        <v>0</v>
      </c>
      <c r="F78" s="43" t="s">
        <v>62</v>
      </c>
      <c r="G78" s="43" t="s">
        <v>138</v>
      </c>
      <c r="H78" s="46" t="s">
        <v>76</v>
      </c>
      <c r="I78" s="47" t="s">
        <v>77</v>
      </c>
    </row>
    <row r="79" spans="1:9" ht="31.5" hidden="1" customHeight="1" x14ac:dyDescent="0.35">
      <c r="A79" s="48">
        <v>60</v>
      </c>
      <c r="B79" s="73"/>
      <c r="C79" s="73"/>
      <c r="D79" s="63" t="s">
        <v>44</v>
      </c>
      <c r="E79" s="59">
        <v>0</v>
      </c>
      <c r="F79" s="49" t="s">
        <v>62</v>
      </c>
      <c r="G79" s="49" t="s">
        <v>139</v>
      </c>
      <c r="H79" s="52" t="s">
        <v>76</v>
      </c>
      <c r="I79" s="60" t="s">
        <v>77</v>
      </c>
    </row>
    <row r="80" spans="1:9" ht="31.5" hidden="1" customHeight="1" x14ac:dyDescent="0.35">
      <c r="A80" s="42">
        <v>61</v>
      </c>
      <c r="B80" s="72"/>
      <c r="C80" s="72"/>
      <c r="D80" s="55" t="s">
        <v>43</v>
      </c>
      <c r="E80" s="56">
        <v>-0.6</v>
      </c>
      <c r="F80" s="43" t="s">
        <v>64</v>
      </c>
      <c r="G80" s="43" t="s">
        <v>140</v>
      </c>
      <c r="H80" s="46" t="s">
        <v>76</v>
      </c>
      <c r="I80" s="57" t="s">
        <v>92</v>
      </c>
    </row>
    <row r="81" spans="1:9" ht="31.5" hidden="1" customHeight="1" x14ac:dyDescent="0.35">
      <c r="A81" s="48">
        <v>62</v>
      </c>
      <c r="B81" s="73"/>
      <c r="C81" s="73"/>
      <c r="D81" s="58" t="s">
        <v>33</v>
      </c>
      <c r="E81" s="59">
        <v>0</v>
      </c>
      <c r="F81" s="49" t="s">
        <v>62</v>
      </c>
      <c r="G81" s="49" t="s">
        <v>141</v>
      </c>
      <c r="H81" s="52" t="s">
        <v>76</v>
      </c>
      <c r="I81" s="60" t="s">
        <v>77</v>
      </c>
    </row>
    <row r="82" spans="1:9" ht="31.5" hidden="1" customHeight="1" x14ac:dyDescent="0.35">
      <c r="A82" s="42">
        <v>63</v>
      </c>
      <c r="B82" s="72"/>
      <c r="C82" s="72"/>
      <c r="D82" s="55" t="s">
        <v>43</v>
      </c>
      <c r="E82" s="56">
        <v>-0.5</v>
      </c>
      <c r="F82" s="43" t="s">
        <v>39</v>
      </c>
      <c r="G82" s="43" t="s">
        <v>142</v>
      </c>
      <c r="H82" s="46" t="s">
        <v>76</v>
      </c>
      <c r="I82" s="57" t="s">
        <v>83</v>
      </c>
    </row>
    <row r="83" spans="1:9" ht="31.5" hidden="1" customHeight="1" x14ac:dyDescent="0.35">
      <c r="A83" s="48">
        <v>64</v>
      </c>
      <c r="B83" s="73"/>
      <c r="C83" s="73"/>
      <c r="D83" s="50" t="s">
        <v>43</v>
      </c>
      <c r="E83" s="51">
        <v>-0.4</v>
      </c>
      <c r="F83" s="49" t="s">
        <v>59</v>
      </c>
      <c r="G83" s="49" t="s">
        <v>143</v>
      </c>
      <c r="H83" s="52" t="s">
        <v>76</v>
      </c>
      <c r="I83" s="53" t="s">
        <v>79</v>
      </c>
    </row>
    <row r="84" spans="1:9" ht="31.5" hidden="1" customHeight="1" x14ac:dyDescent="0.35">
      <c r="A84" s="42">
        <v>65</v>
      </c>
      <c r="B84" s="72"/>
      <c r="C84" s="72"/>
      <c r="D84" s="54" t="s">
        <v>33</v>
      </c>
      <c r="E84" s="45">
        <v>0</v>
      </c>
      <c r="F84" s="43" t="s">
        <v>39</v>
      </c>
      <c r="G84" s="43" t="s">
        <v>144</v>
      </c>
      <c r="H84" s="46" t="s">
        <v>76</v>
      </c>
      <c r="I84" s="47" t="s">
        <v>77</v>
      </c>
    </row>
    <row r="85" spans="1:9" ht="31.5" hidden="1" customHeight="1" x14ac:dyDescent="0.35">
      <c r="A85" s="48">
        <v>66</v>
      </c>
      <c r="B85" s="73"/>
      <c r="C85" s="73"/>
      <c r="D85" s="58" t="s">
        <v>33</v>
      </c>
      <c r="E85" s="59">
        <v>0</v>
      </c>
      <c r="F85" s="49" t="s">
        <v>62</v>
      </c>
      <c r="G85" s="49" t="s">
        <v>145</v>
      </c>
      <c r="H85" s="52" t="s">
        <v>76</v>
      </c>
      <c r="I85" s="60" t="s">
        <v>77</v>
      </c>
    </row>
    <row r="86" spans="1:9" ht="31.5" hidden="1" customHeight="1" x14ac:dyDescent="0.35">
      <c r="A86" s="42">
        <v>67</v>
      </c>
      <c r="B86" s="72"/>
      <c r="C86" s="72"/>
      <c r="D86" s="55" t="s">
        <v>43</v>
      </c>
      <c r="E86" s="56">
        <v>-0.3</v>
      </c>
      <c r="F86" s="43" t="s">
        <v>59</v>
      </c>
      <c r="G86" s="43" t="s">
        <v>146</v>
      </c>
      <c r="H86" s="46" t="s">
        <v>76</v>
      </c>
      <c r="I86" s="57" t="s">
        <v>87</v>
      </c>
    </row>
    <row r="87" spans="1:9" ht="31.5" hidden="1" customHeight="1" x14ac:dyDescent="0.35">
      <c r="A87" s="48">
        <v>68</v>
      </c>
      <c r="B87" s="73"/>
      <c r="C87" s="73"/>
      <c r="D87" s="55" t="s">
        <v>43</v>
      </c>
      <c r="E87" s="59">
        <v>0</v>
      </c>
      <c r="F87" s="49" t="s">
        <v>59</v>
      </c>
      <c r="G87" s="49" t="s">
        <v>147</v>
      </c>
      <c r="H87" s="52" t="s">
        <v>76</v>
      </c>
      <c r="I87" s="60" t="s">
        <v>77</v>
      </c>
    </row>
    <row r="88" spans="1:9" ht="31.5" hidden="1" customHeight="1" x14ac:dyDescent="0.35">
      <c r="A88" s="42">
        <v>69</v>
      </c>
      <c r="B88" s="72"/>
      <c r="C88" s="72"/>
      <c r="D88" s="63" t="s">
        <v>44</v>
      </c>
      <c r="E88" s="56">
        <v>-0.4</v>
      </c>
      <c r="F88" s="43" t="s">
        <v>62</v>
      </c>
      <c r="G88" s="43" t="s">
        <v>148</v>
      </c>
      <c r="H88" s="46" t="s">
        <v>76</v>
      </c>
      <c r="I88" s="57" t="s">
        <v>79</v>
      </c>
    </row>
    <row r="89" spans="1:9" ht="31.5" hidden="1" customHeight="1" x14ac:dyDescent="0.35">
      <c r="A89" s="48">
        <v>70</v>
      </c>
      <c r="B89" s="73"/>
      <c r="C89" s="73"/>
      <c r="D89" s="50" t="s">
        <v>43</v>
      </c>
      <c r="E89" s="51">
        <v>-0.5</v>
      </c>
      <c r="F89" s="49" t="s">
        <v>58</v>
      </c>
      <c r="G89" s="49" t="s">
        <v>149</v>
      </c>
      <c r="H89" s="52" t="s">
        <v>76</v>
      </c>
      <c r="I89" s="53" t="s">
        <v>83</v>
      </c>
    </row>
    <row r="90" spans="1:9" ht="31.5" hidden="1" customHeight="1" x14ac:dyDescent="0.35">
      <c r="A90" s="42">
        <v>71</v>
      </c>
      <c r="B90" s="72"/>
      <c r="C90" s="72"/>
      <c r="D90" s="50" t="s">
        <v>43</v>
      </c>
      <c r="E90" s="45">
        <v>0</v>
      </c>
      <c r="F90" s="43" t="s">
        <v>59</v>
      </c>
      <c r="G90" s="43" t="s">
        <v>150</v>
      </c>
      <c r="H90" s="46" t="s">
        <v>76</v>
      </c>
      <c r="I90" s="47" t="s">
        <v>77</v>
      </c>
    </row>
    <row r="91" spans="1:9" ht="31.5" hidden="1" customHeight="1" x14ac:dyDescent="0.35">
      <c r="A91" s="48">
        <v>72</v>
      </c>
      <c r="B91" s="73"/>
      <c r="C91" s="73"/>
      <c r="D91" s="63" t="s">
        <v>44</v>
      </c>
      <c r="E91" s="51">
        <v>-0.4</v>
      </c>
      <c r="F91" s="49" t="s">
        <v>62</v>
      </c>
      <c r="G91" s="49" t="s">
        <v>151</v>
      </c>
      <c r="H91" s="52" t="s">
        <v>76</v>
      </c>
      <c r="I91" s="53" t="s">
        <v>79</v>
      </c>
    </row>
    <row r="92" spans="1:9" ht="31.5" customHeight="1" x14ac:dyDescent="0.35">
      <c r="A92" s="42">
        <v>73</v>
      </c>
      <c r="B92" s="72"/>
      <c r="C92" s="72"/>
      <c r="D92" s="55" t="s">
        <v>43</v>
      </c>
      <c r="E92" s="56">
        <v>-0.3</v>
      </c>
      <c r="F92" s="43" t="s">
        <v>63</v>
      </c>
      <c r="G92" s="43" t="s">
        <v>152</v>
      </c>
      <c r="H92" s="46" t="s">
        <v>76</v>
      </c>
      <c r="I92" s="57" t="s">
        <v>87</v>
      </c>
    </row>
    <row r="93" spans="1:9" ht="31.5" hidden="1" customHeight="1" x14ac:dyDescent="0.35">
      <c r="A93" s="48">
        <v>74</v>
      </c>
      <c r="B93" s="73"/>
      <c r="C93" s="73"/>
      <c r="D93" s="63" t="s">
        <v>44</v>
      </c>
      <c r="E93" s="59">
        <v>0</v>
      </c>
      <c r="F93" s="49" t="s">
        <v>62</v>
      </c>
      <c r="G93" s="49" t="s">
        <v>105</v>
      </c>
      <c r="H93" s="52" t="s">
        <v>89</v>
      </c>
      <c r="I93" s="60" t="s">
        <v>77</v>
      </c>
    </row>
    <row r="94" spans="1:9" ht="61.5" hidden="1" customHeight="1" x14ac:dyDescent="0.35">
      <c r="A94" s="42">
        <v>75</v>
      </c>
      <c r="B94" s="72"/>
      <c r="C94" s="72"/>
      <c r="D94" s="55" t="s">
        <v>43</v>
      </c>
      <c r="E94" s="56">
        <v>-0.5</v>
      </c>
      <c r="F94" s="43" t="s">
        <v>59</v>
      </c>
      <c r="G94" s="43" t="s">
        <v>153</v>
      </c>
      <c r="H94" s="46" t="s">
        <v>76</v>
      </c>
      <c r="I94" s="57" t="s">
        <v>83</v>
      </c>
    </row>
    <row r="95" spans="1:9" ht="31.5" hidden="1" customHeight="1" x14ac:dyDescent="0.35">
      <c r="A95" s="48">
        <v>76</v>
      </c>
      <c r="B95" s="73"/>
      <c r="C95" s="73"/>
      <c r="D95" s="50" t="s">
        <v>57</v>
      </c>
      <c r="E95" s="51">
        <v>-0.5</v>
      </c>
      <c r="F95" s="49" t="s">
        <v>58</v>
      </c>
      <c r="G95" s="49" t="s">
        <v>154</v>
      </c>
      <c r="H95" s="52" t="s">
        <v>76</v>
      </c>
      <c r="I95" s="53" t="s">
        <v>83</v>
      </c>
    </row>
    <row r="96" spans="1:9" ht="0.5" hidden="1" customHeight="1" x14ac:dyDescent="0.35">
      <c r="A96" s="42">
        <v>77</v>
      </c>
      <c r="B96" s="72"/>
      <c r="C96" s="72"/>
      <c r="D96" s="54" t="s">
        <v>33</v>
      </c>
      <c r="E96" s="45">
        <v>0</v>
      </c>
      <c r="F96" s="43" t="s">
        <v>62</v>
      </c>
      <c r="G96" s="43"/>
      <c r="H96" s="46" t="s">
        <v>89</v>
      </c>
      <c r="I96" s="47" t="s">
        <v>77</v>
      </c>
    </row>
    <row r="97" spans="1:9" ht="31.5" hidden="1" customHeight="1" x14ac:dyDescent="0.35">
      <c r="A97" s="48">
        <v>78</v>
      </c>
      <c r="B97" s="73"/>
      <c r="C97" s="73"/>
      <c r="D97" s="55" t="s">
        <v>43</v>
      </c>
      <c r="E97" s="59">
        <v>0</v>
      </c>
      <c r="F97" s="49" t="s">
        <v>64</v>
      </c>
      <c r="G97" s="49" t="s">
        <v>155</v>
      </c>
      <c r="H97" s="52" t="s">
        <v>76</v>
      </c>
      <c r="I97" s="60" t="s">
        <v>77</v>
      </c>
    </row>
    <row r="98" spans="1:9" ht="31.5" customHeight="1" x14ac:dyDescent="0.35">
      <c r="A98" s="42">
        <v>79</v>
      </c>
      <c r="B98" s="72"/>
      <c r="C98" s="72"/>
      <c r="D98" s="55" t="s">
        <v>43</v>
      </c>
      <c r="E98" s="45">
        <v>0</v>
      </c>
      <c r="F98" s="43" t="s">
        <v>63</v>
      </c>
      <c r="G98" s="43" t="s">
        <v>156</v>
      </c>
      <c r="H98" s="46" t="s">
        <v>76</v>
      </c>
      <c r="I98" s="47" t="s">
        <v>77</v>
      </c>
    </row>
    <row r="99" spans="1:9" ht="68" customHeight="1" x14ac:dyDescent="0.35">
      <c r="A99" s="48">
        <v>80</v>
      </c>
      <c r="B99" s="73"/>
      <c r="C99" s="73"/>
      <c r="D99" s="50" t="s">
        <v>43</v>
      </c>
      <c r="E99" s="51">
        <v>-0.3</v>
      </c>
      <c r="F99" s="49" t="s">
        <v>63</v>
      </c>
      <c r="G99" s="49" t="s">
        <v>157</v>
      </c>
      <c r="H99" s="52" t="s">
        <v>76</v>
      </c>
      <c r="I99" s="53" t="s">
        <v>87</v>
      </c>
    </row>
    <row r="100" spans="1:9" ht="31.5" hidden="1" customHeight="1" x14ac:dyDescent="0.35">
      <c r="A100" s="42">
        <v>81</v>
      </c>
      <c r="B100" s="72"/>
      <c r="C100" s="72"/>
      <c r="D100" s="54" t="s">
        <v>33</v>
      </c>
      <c r="E100" s="45">
        <v>0</v>
      </c>
      <c r="F100" s="43" t="s">
        <v>39</v>
      </c>
      <c r="G100" s="43" t="s">
        <v>39</v>
      </c>
      <c r="H100" s="46" t="s">
        <v>76</v>
      </c>
      <c r="I100" s="47" t="s">
        <v>77</v>
      </c>
    </row>
    <row r="101" spans="1:9" ht="31.5" hidden="1" customHeight="1" x14ac:dyDescent="0.35">
      <c r="A101" s="48">
        <v>82</v>
      </c>
      <c r="B101" s="73"/>
      <c r="C101" s="73"/>
      <c r="D101" s="50" t="s">
        <v>57</v>
      </c>
      <c r="E101" s="51">
        <v>-0.4</v>
      </c>
      <c r="F101" s="49" t="s">
        <v>62</v>
      </c>
      <c r="G101" s="49" t="s">
        <v>158</v>
      </c>
      <c r="H101" s="52" t="s">
        <v>76</v>
      </c>
      <c r="I101" s="53" t="s">
        <v>79</v>
      </c>
    </row>
    <row r="102" spans="1:9" ht="31.5" customHeight="1" x14ac:dyDescent="0.35">
      <c r="A102" s="42">
        <v>83</v>
      </c>
      <c r="B102" s="72"/>
      <c r="C102" s="72"/>
      <c r="D102" s="55" t="s">
        <v>43</v>
      </c>
      <c r="E102" s="56">
        <v>-0.6</v>
      </c>
      <c r="F102" s="43" t="s">
        <v>63</v>
      </c>
      <c r="G102" s="43" t="s">
        <v>159</v>
      </c>
      <c r="H102" s="46" t="s">
        <v>76</v>
      </c>
      <c r="I102" s="57" t="s">
        <v>92</v>
      </c>
    </row>
    <row r="103" spans="1:9" ht="31.5" customHeight="1" x14ac:dyDescent="0.35">
      <c r="A103" s="48">
        <v>84</v>
      </c>
      <c r="B103" s="73"/>
      <c r="C103" s="73"/>
      <c r="D103" s="50" t="s">
        <v>43</v>
      </c>
      <c r="E103" s="51">
        <v>-0.4</v>
      </c>
      <c r="F103" s="49" t="s">
        <v>63</v>
      </c>
      <c r="G103" s="49" t="s">
        <v>160</v>
      </c>
      <c r="H103" s="52" t="s">
        <v>76</v>
      </c>
      <c r="I103" s="53" t="s">
        <v>79</v>
      </c>
    </row>
    <row r="104" spans="1:9" ht="31.5" hidden="1" customHeight="1" x14ac:dyDescent="0.35">
      <c r="A104" s="42">
        <v>85</v>
      </c>
      <c r="B104" s="72"/>
      <c r="C104" s="74"/>
      <c r="D104" s="55" t="s">
        <v>43</v>
      </c>
      <c r="E104" s="56">
        <v>-0.4</v>
      </c>
      <c r="F104" s="43" t="s">
        <v>59</v>
      </c>
      <c r="G104" s="43" t="s">
        <v>161</v>
      </c>
      <c r="H104" s="46" t="s">
        <v>76</v>
      </c>
      <c r="I104" s="57" t="s">
        <v>79</v>
      </c>
    </row>
    <row r="105" spans="1:9" ht="31.5" hidden="1" customHeight="1" x14ac:dyDescent="0.35">
      <c r="A105" s="48">
        <v>86</v>
      </c>
      <c r="B105" s="73"/>
      <c r="C105" s="73"/>
      <c r="D105" s="50" t="s">
        <v>43</v>
      </c>
      <c r="E105" s="51">
        <v>-0.6</v>
      </c>
      <c r="F105" s="49" t="s">
        <v>64</v>
      </c>
      <c r="G105" s="49" t="s">
        <v>162</v>
      </c>
      <c r="H105" s="52" t="s">
        <v>76</v>
      </c>
      <c r="I105" s="53" t="s">
        <v>92</v>
      </c>
    </row>
    <row r="106" spans="1:9" ht="31.5" customHeight="1" x14ac:dyDescent="0.35">
      <c r="A106" s="42">
        <v>87</v>
      </c>
      <c r="B106" s="72"/>
      <c r="C106" s="72"/>
      <c r="D106" s="54" t="s">
        <v>57</v>
      </c>
      <c r="E106" s="45">
        <v>0</v>
      </c>
      <c r="F106" s="43" t="s">
        <v>63</v>
      </c>
      <c r="G106" s="43" t="s">
        <v>163</v>
      </c>
      <c r="H106" s="46" t="s">
        <v>76</v>
      </c>
      <c r="I106" s="47" t="s">
        <v>77</v>
      </c>
    </row>
    <row r="107" spans="1:9" ht="31.5" hidden="1" customHeight="1" x14ac:dyDescent="0.35">
      <c r="A107" s="48">
        <v>88</v>
      </c>
      <c r="B107" s="73"/>
      <c r="C107" s="73"/>
      <c r="D107" s="50" t="s">
        <v>43</v>
      </c>
      <c r="E107" s="51">
        <v>-0.3</v>
      </c>
      <c r="F107" s="49" t="s">
        <v>64</v>
      </c>
      <c r="G107" s="49" t="s">
        <v>164</v>
      </c>
      <c r="H107" s="52" t="s">
        <v>76</v>
      </c>
      <c r="I107" s="53" t="s">
        <v>87</v>
      </c>
    </row>
    <row r="108" spans="1:9" ht="31.5" hidden="1" customHeight="1" x14ac:dyDescent="0.35">
      <c r="A108" s="42">
        <v>89</v>
      </c>
      <c r="B108" s="72"/>
      <c r="C108" s="72"/>
      <c r="D108" s="55" t="s">
        <v>43</v>
      </c>
      <c r="E108" s="56">
        <v>-0.5</v>
      </c>
      <c r="F108" s="43" t="s">
        <v>61</v>
      </c>
      <c r="G108" s="43" t="s">
        <v>165</v>
      </c>
      <c r="H108" s="46" t="s">
        <v>76</v>
      </c>
      <c r="I108" s="57" t="s">
        <v>83</v>
      </c>
    </row>
    <row r="109" spans="1:9" ht="31.5" hidden="1" customHeight="1" x14ac:dyDescent="0.35">
      <c r="A109" s="48">
        <v>90</v>
      </c>
      <c r="B109" s="73"/>
      <c r="C109" s="73"/>
      <c r="D109" s="50" t="s">
        <v>43</v>
      </c>
      <c r="E109" s="51">
        <v>-0.3</v>
      </c>
      <c r="F109" s="49" t="s">
        <v>62</v>
      </c>
      <c r="G109" s="49" t="s">
        <v>166</v>
      </c>
      <c r="H109" s="52" t="s">
        <v>76</v>
      </c>
      <c r="I109" s="53" t="s">
        <v>87</v>
      </c>
    </row>
    <row r="110" spans="1:9" ht="31.5" customHeight="1" x14ac:dyDescent="0.35">
      <c r="A110" s="42">
        <v>91</v>
      </c>
      <c r="B110" s="72"/>
      <c r="C110" s="72"/>
      <c r="D110" s="54" t="s">
        <v>33</v>
      </c>
      <c r="E110" s="45">
        <v>0</v>
      </c>
      <c r="F110" s="43" t="s">
        <v>63</v>
      </c>
      <c r="G110" s="43" t="s">
        <v>167</v>
      </c>
      <c r="H110" s="46" t="s">
        <v>76</v>
      </c>
      <c r="I110" s="47" t="s">
        <v>77</v>
      </c>
    </row>
    <row r="111" spans="1:9" ht="31.5" customHeight="1" x14ac:dyDescent="0.35">
      <c r="A111" s="48">
        <v>92</v>
      </c>
      <c r="B111" s="73"/>
      <c r="C111" s="73"/>
      <c r="D111" s="50" t="s">
        <v>43</v>
      </c>
      <c r="E111" s="51">
        <v>-0.6</v>
      </c>
      <c r="F111" s="49" t="s">
        <v>63</v>
      </c>
      <c r="G111" s="49" t="s">
        <v>168</v>
      </c>
      <c r="H111" s="52" t="s">
        <v>76</v>
      </c>
      <c r="I111" s="53" t="s">
        <v>92</v>
      </c>
    </row>
    <row r="112" spans="1:9" ht="31.5" hidden="1" customHeight="1" x14ac:dyDescent="0.35">
      <c r="A112" s="42">
        <v>93</v>
      </c>
      <c r="B112" s="72"/>
      <c r="C112" s="72"/>
      <c r="D112" s="50" t="s">
        <v>43</v>
      </c>
      <c r="E112" s="45">
        <v>0</v>
      </c>
      <c r="F112" s="43" t="s">
        <v>59</v>
      </c>
      <c r="G112" s="43" t="s">
        <v>169</v>
      </c>
      <c r="H112" s="46" t="s">
        <v>76</v>
      </c>
      <c r="I112" s="47" t="s">
        <v>77</v>
      </c>
    </row>
    <row r="113" spans="1:9" ht="31.5" hidden="1" customHeight="1" x14ac:dyDescent="0.35">
      <c r="A113" s="48">
        <v>94</v>
      </c>
      <c r="B113" s="73"/>
      <c r="C113" s="73"/>
      <c r="D113" s="50" t="s">
        <v>43</v>
      </c>
      <c r="E113" s="59">
        <v>0</v>
      </c>
      <c r="F113" s="49" t="s">
        <v>61</v>
      </c>
      <c r="G113" s="49" t="s">
        <v>170</v>
      </c>
      <c r="H113" s="52" t="s">
        <v>76</v>
      </c>
      <c r="I113" s="60" t="s">
        <v>77</v>
      </c>
    </row>
    <row r="114" spans="1:9" ht="31.5" hidden="1" customHeight="1" x14ac:dyDescent="0.35">
      <c r="A114" s="42">
        <v>95</v>
      </c>
      <c r="B114" s="72"/>
      <c r="C114" s="72"/>
      <c r="D114" s="50" t="s">
        <v>43</v>
      </c>
      <c r="E114" s="45">
        <v>0</v>
      </c>
      <c r="F114" s="43" t="s">
        <v>64</v>
      </c>
      <c r="G114" s="43" t="s">
        <v>171</v>
      </c>
      <c r="H114" s="46" t="s">
        <v>76</v>
      </c>
      <c r="I114" s="47" t="s">
        <v>77</v>
      </c>
    </row>
    <row r="115" spans="1:9" ht="31.5" hidden="1" customHeight="1" x14ac:dyDescent="0.35">
      <c r="A115" s="48">
        <v>96</v>
      </c>
      <c r="B115" s="73"/>
      <c r="C115" s="73"/>
      <c r="D115" s="50" t="s">
        <v>43</v>
      </c>
      <c r="E115" s="51">
        <v>-0.3</v>
      </c>
      <c r="F115" s="49" t="s">
        <v>59</v>
      </c>
      <c r="G115" s="49" t="s">
        <v>172</v>
      </c>
      <c r="H115" s="52" t="s">
        <v>76</v>
      </c>
      <c r="I115" s="53" t="s">
        <v>87</v>
      </c>
    </row>
    <row r="116" spans="1:9" ht="31.5" hidden="1" customHeight="1" x14ac:dyDescent="0.35">
      <c r="A116" s="42">
        <v>97</v>
      </c>
      <c r="B116" s="72"/>
      <c r="C116" s="72"/>
      <c r="D116" s="50" t="s">
        <v>43</v>
      </c>
      <c r="E116" s="45">
        <v>0</v>
      </c>
      <c r="F116" s="43" t="s">
        <v>60</v>
      </c>
      <c r="G116" s="43" t="s">
        <v>173</v>
      </c>
      <c r="H116" s="46" t="s">
        <v>76</v>
      </c>
      <c r="I116" s="47" t="s">
        <v>77</v>
      </c>
    </row>
    <row r="117" spans="1:9" ht="31.5" hidden="1" customHeight="1" x14ac:dyDescent="0.35">
      <c r="A117" s="48">
        <v>98</v>
      </c>
      <c r="B117" s="73"/>
      <c r="C117" s="73"/>
      <c r="D117" s="58" t="s">
        <v>33</v>
      </c>
      <c r="E117" s="59">
        <v>0</v>
      </c>
      <c r="F117" s="49" t="s">
        <v>62</v>
      </c>
      <c r="G117" s="49" t="s">
        <v>89</v>
      </c>
      <c r="H117" s="52" t="s">
        <v>89</v>
      </c>
      <c r="I117" s="60" t="s">
        <v>77</v>
      </c>
    </row>
    <row r="118" spans="1:9" ht="31.5" customHeight="1" x14ac:dyDescent="0.35">
      <c r="A118" s="42">
        <v>99</v>
      </c>
      <c r="B118" s="72"/>
      <c r="C118" s="72"/>
      <c r="D118" s="50" t="s">
        <v>43</v>
      </c>
      <c r="E118" s="45">
        <v>0</v>
      </c>
      <c r="F118" s="43" t="s">
        <v>63</v>
      </c>
      <c r="G118" s="43" t="s">
        <v>174</v>
      </c>
      <c r="H118" s="46" t="s">
        <v>76</v>
      </c>
      <c r="I118" s="47" t="s">
        <v>77</v>
      </c>
    </row>
    <row r="119" spans="1:9" ht="31.5" hidden="1" customHeight="1" x14ac:dyDescent="0.35">
      <c r="A119" s="48">
        <v>100</v>
      </c>
      <c r="B119" s="73"/>
      <c r="C119" s="73"/>
      <c r="D119" s="50" t="s">
        <v>43</v>
      </c>
      <c r="E119" s="51">
        <v>-0.4</v>
      </c>
      <c r="F119" s="49" t="s">
        <v>59</v>
      </c>
      <c r="G119" s="49" t="s">
        <v>175</v>
      </c>
      <c r="H119" s="52" t="s">
        <v>76</v>
      </c>
      <c r="I119" s="53" t="s">
        <v>79</v>
      </c>
    </row>
    <row r="120" spans="1:9" ht="31.5" hidden="1" customHeight="1" x14ac:dyDescent="0.35">
      <c r="A120" s="42">
        <v>101</v>
      </c>
      <c r="B120" s="72"/>
      <c r="C120" s="72"/>
      <c r="D120" s="54" t="s">
        <v>33</v>
      </c>
      <c r="E120" s="45">
        <v>0</v>
      </c>
      <c r="F120" s="43" t="s">
        <v>39</v>
      </c>
      <c r="G120" s="43" t="s">
        <v>176</v>
      </c>
      <c r="H120" s="46" t="s">
        <v>76</v>
      </c>
      <c r="I120" s="47" t="s">
        <v>77</v>
      </c>
    </row>
    <row r="121" spans="1:9" ht="31.5" hidden="1" customHeight="1" x14ac:dyDescent="0.35">
      <c r="A121" s="48">
        <v>102</v>
      </c>
      <c r="B121" s="73"/>
      <c r="C121" s="73"/>
      <c r="D121" s="50" t="s">
        <v>57</v>
      </c>
      <c r="E121" s="51">
        <v>-0.3</v>
      </c>
      <c r="F121" s="49" t="s">
        <v>61</v>
      </c>
      <c r="G121" s="49" t="s">
        <v>177</v>
      </c>
      <c r="H121" s="52" t="s">
        <v>76</v>
      </c>
      <c r="I121" s="53" t="s">
        <v>87</v>
      </c>
    </row>
    <row r="122" spans="1:9" ht="31.5" customHeight="1" x14ac:dyDescent="0.35">
      <c r="A122" s="66">
        <v>103</v>
      </c>
      <c r="B122" s="75"/>
      <c r="C122" s="75"/>
      <c r="D122" s="68" t="s">
        <v>33</v>
      </c>
      <c r="E122" s="69">
        <v>0</v>
      </c>
      <c r="F122" s="67" t="s">
        <v>63</v>
      </c>
      <c r="G122" s="67" t="s">
        <v>178</v>
      </c>
      <c r="H122" s="70" t="s">
        <v>76</v>
      </c>
      <c r="I122" s="71" t="s">
        <v>77</v>
      </c>
    </row>
    <row r="124" spans="1:9" x14ac:dyDescent="0.35">
      <c r="D124" s="37">
        <f>COUNTIF(D20:D122,"Recommendation")</f>
        <v>9</v>
      </c>
    </row>
    <row r="126" spans="1:9" x14ac:dyDescent="0.35">
      <c r="D126" s="37">
        <f>COUNTIF(Table1[Sentiment],"Negative")</f>
        <v>52</v>
      </c>
    </row>
  </sheetData>
  <mergeCells count="1">
    <mergeCell ref="A18:I18"/>
  </mergeCells>
  <pageMargins left="0.75" right="0.75" top="1" bottom="1" header="0.511811023622047" footer="0.511811023622047"/>
  <pageSetup paperSize="9" orientation="portrait" horizontalDpi="300" verticalDpi="30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 Dashboard</vt:lpstr>
      <vt:lpstr>Sentiment Dashboard</vt:lpstr>
      <vt:lpstr>Review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Mshel Homes Strategy</dc:creator>
  <cp:lastModifiedBy>Mshel Homes Strategy</cp:lastModifiedBy>
  <dcterms:created xsi:type="dcterms:W3CDTF">2026-08-17T18:51:30Z</dcterms:created>
  <dcterms:modified xsi:type="dcterms:W3CDTF">2026-08-17T18:57:27Z</dcterms:modified>
</cp:coreProperties>
</file>